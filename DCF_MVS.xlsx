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VS - Forecasts" sheetId="1" r:id="rId4"/>
    <sheet state="visible" name="MVS - Valuation" sheetId="2" r:id="rId5"/>
    <sheet state="visible" name="MVS - Calculation of FCFE" sheetId="3" r:id="rId6"/>
    <sheet state="visible" name="MVS - Cost of Equity" sheetId="4" r:id="rId7"/>
  </sheets>
  <definedNames/>
  <calcPr/>
  <extLst>
    <ext uri="GoogleSheetsCustomDataVersion2">
      <go:sheetsCustomData xmlns:go="http://customooxmlschemas.google.com/" r:id="rId8" roundtripDataChecksum="JyjDv4/2MHgf3kGZWwgd8da1nn4UOJwW62spIoctjVE="/>
    </ext>
  </extLst>
</workbook>
</file>

<file path=xl/sharedStrings.xml><?xml version="1.0" encoding="utf-8"?>
<sst xmlns="http://schemas.openxmlformats.org/spreadsheetml/2006/main" count="136" uniqueCount="108">
  <si>
    <t>MVS Motors Ltd</t>
  </si>
  <si>
    <t>XYZ Motors Limited, incorporated in 1982, is the listed company of the XYZ Group in India .</t>
  </si>
  <si>
    <t>XYZ Motors Limited, is a leading player in the Indian automobile industry and the global leader in middleweight motorcycles.</t>
  </si>
  <si>
    <t>The Company has manufacturing facilities across the country and sells primarily in India.</t>
  </si>
  <si>
    <t>XYZ has a joint venture with Sweden’s AB Volvo to create Volvo XYZ Commercial Vehicles Limited (VECV).</t>
  </si>
  <si>
    <t>VECV is engaged in truck and bus operations, auto components business, and technical consulting services business.</t>
  </si>
  <si>
    <t>Particulars</t>
  </si>
  <si>
    <t>FY19</t>
  </si>
  <si>
    <t>FY20</t>
  </si>
  <si>
    <t>FY21</t>
  </si>
  <si>
    <t>FY22</t>
  </si>
  <si>
    <t>FY23</t>
  </si>
  <si>
    <t>FY24</t>
  </si>
  <si>
    <t>FY25</t>
  </si>
  <si>
    <t>FY26P</t>
  </si>
  <si>
    <t>FY27P</t>
  </si>
  <si>
    <t>FY28P</t>
  </si>
  <si>
    <t>FY29P</t>
  </si>
  <si>
    <t>FY30P</t>
  </si>
  <si>
    <t>Revenue</t>
  </si>
  <si>
    <t>% growth</t>
  </si>
  <si>
    <t>Operating Margin</t>
  </si>
  <si>
    <t>% margin</t>
  </si>
  <si>
    <t>Net Margin</t>
  </si>
  <si>
    <t>FCFE</t>
  </si>
  <si>
    <t xml:space="preserve">Perpetual Growth </t>
  </si>
  <si>
    <t>Rate of Discount</t>
  </si>
  <si>
    <t>CF (t-1) - CF5</t>
  </si>
  <si>
    <t>Terminal Value</t>
  </si>
  <si>
    <t>Year</t>
  </si>
  <si>
    <t xml:space="preserve">Year No. </t>
  </si>
  <si>
    <t>CF</t>
  </si>
  <si>
    <t>Cash Flows</t>
  </si>
  <si>
    <t>Growth Rate</t>
  </si>
  <si>
    <t>Discounting Factor</t>
  </si>
  <si>
    <t>CF0</t>
  </si>
  <si>
    <t>CF1</t>
  </si>
  <si>
    <t>CF2</t>
  </si>
  <si>
    <t>CF3</t>
  </si>
  <si>
    <t>CF4</t>
  </si>
  <si>
    <t>CF5</t>
  </si>
  <si>
    <t>Rate of return (Cost of equity)</t>
  </si>
  <si>
    <t>(The Calculation for the Cost of Equity is given in XYZ Motors - Cost of Equity Sheet)</t>
  </si>
  <si>
    <t>Current Market Value as per DCF</t>
  </si>
  <si>
    <t>Cr</t>
  </si>
  <si>
    <t>Today at 25th June 2025, XYZ Motors Ltd operates at a market cap of 1.37LCr. Hence, the company might be significantly overvalued.</t>
  </si>
  <si>
    <t>Current Market Share Price</t>
  </si>
  <si>
    <t>Outstanding Shares of XYZ Co</t>
  </si>
  <si>
    <t>XYZ Motors Ltd</t>
  </si>
  <si>
    <t>Free Cash Flow to Equity:</t>
  </si>
  <si>
    <t>FCFE is a metric of how much cash can be distributed to the equity shareholders of the company as dividends or stock buybacks.</t>
  </si>
  <si>
    <t>Dividends and Stock Buybacks are distributed after all expenses, reinvestments, and debt repayments are taken care of.</t>
  </si>
  <si>
    <r>
      <rPr>
        <rFont val="Calibri"/>
        <color theme="1"/>
        <sz val="11.0"/>
      </rPr>
      <t xml:space="preserve">The formula to calculate the </t>
    </r>
    <r>
      <rPr>
        <rFont val="Calibri"/>
        <b/>
        <color theme="1"/>
        <sz val="11.0"/>
      </rPr>
      <t xml:space="preserve">Free Cash Flow to Equity (FCFE) </t>
    </r>
    <r>
      <rPr>
        <rFont val="Calibri"/>
        <color theme="1"/>
        <sz val="11.0"/>
      </rPr>
      <t>is the following:</t>
    </r>
  </si>
  <si>
    <t>Cash Flow from Operations</t>
  </si>
  <si>
    <t>(-) Capital Expenditure</t>
  </si>
  <si>
    <t>(+) Net Debt Issued</t>
  </si>
  <si>
    <t>Free Cash Flow to Equity (FCFE)</t>
  </si>
  <si>
    <r>
      <rPr>
        <rFont val="Calibri"/>
        <color theme="1"/>
        <sz val="11.0"/>
      </rPr>
      <t xml:space="preserve">The formula for </t>
    </r>
    <r>
      <rPr>
        <rFont val="Calibri"/>
        <b/>
        <color theme="1"/>
        <sz val="11.0"/>
      </rPr>
      <t>Capital Expenditure</t>
    </r>
    <r>
      <rPr>
        <rFont val="Calibri"/>
        <color theme="1"/>
        <sz val="11.0"/>
      </rPr>
      <t xml:space="preserve"> is the following:</t>
    </r>
  </si>
  <si>
    <t>(+) Closing PPE</t>
  </si>
  <si>
    <t>(-) Opening PPE</t>
  </si>
  <si>
    <t>Net Increase/Decrease in PPE</t>
  </si>
  <si>
    <t>(+) Depreciation</t>
  </si>
  <si>
    <t>Capital Expenditue</t>
  </si>
  <si>
    <r>
      <rPr>
        <rFont val="Calibri"/>
        <color theme="1"/>
        <sz val="11.0"/>
      </rPr>
      <t xml:space="preserve">The formula for </t>
    </r>
    <r>
      <rPr>
        <rFont val="Calibri"/>
        <b/>
        <color theme="1"/>
        <sz val="11.0"/>
      </rPr>
      <t>Net Debt Issued</t>
    </r>
    <r>
      <rPr>
        <rFont val="Calibri"/>
        <color theme="1"/>
        <sz val="11.0"/>
      </rPr>
      <t xml:space="preserve"> is the following:</t>
    </r>
  </si>
  <si>
    <t xml:space="preserve">(Short Term Debt + Long Term Debt) - Liquid Investment </t>
  </si>
  <si>
    <t>Net Debt Issued</t>
  </si>
  <si>
    <t>The Calculation for YoY Free Cash Flow Equity (FCFE)</t>
  </si>
  <si>
    <t>YoY</t>
  </si>
  <si>
    <t>Capital Expenditure</t>
  </si>
  <si>
    <t>Closing PPE</t>
  </si>
  <si>
    <t>Opening PPE</t>
  </si>
  <si>
    <t>Depreciation</t>
  </si>
  <si>
    <t>Long Term Debt</t>
  </si>
  <si>
    <t>Short Term Debt</t>
  </si>
  <si>
    <t xml:space="preserve">Liquid Investment </t>
  </si>
  <si>
    <t>Free Cash Flow to Equity</t>
  </si>
  <si>
    <t>Cash from Operations</t>
  </si>
  <si>
    <t>We will be using the Capital Asset Pricing Model (CAPM) to derive the Cost of Equity.</t>
  </si>
  <si>
    <t>The Formula for CAPM:</t>
  </si>
  <si>
    <t>Ke</t>
  </si>
  <si>
    <t>Rf + β* (Erm - Rf)</t>
  </si>
  <si>
    <t>Cost of Equity</t>
  </si>
  <si>
    <t>Rf</t>
  </si>
  <si>
    <t>Risk Free Rate of Return</t>
  </si>
  <si>
    <t>β</t>
  </si>
  <si>
    <t>Beta</t>
  </si>
  <si>
    <t>Erm</t>
  </si>
  <si>
    <t>Estimated Return on Investment</t>
  </si>
  <si>
    <t>(Erm - Rf)</t>
  </si>
  <si>
    <t>Market Risk Premium</t>
  </si>
  <si>
    <t>The Risk Free Rate of Return is the 10 Year Bond rate that can be also called as Treasury Yield is 7% as taken from the market.</t>
  </si>
  <si>
    <t>The Beta Factor of XYZ Motors Ltd is 0.59 (5Y Monthly)</t>
  </si>
  <si>
    <t>The Estimated return on Investment is 13.9% as per the historical CAGR of 5 years.</t>
  </si>
  <si>
    <t>Steps to Calculate the Ke (Return on Equity Required):</t>
  </si>
  <si>
    <t>Step 1</t>
  </si>
  <si>
    <t>Calculate the Market Risk Premium</t>
  </si>
  <si>
    <t xml:space="preserve">We will simply subtract 13.05% (the estimated return on Investment) with 7% (the Risk Free Rate of Return)  </t>
  </si>
  <si>
    <t>13.05%-7%</t>
  </si>
  <si>
    <t>Step 2</t>
  </si>
  <si>
    <t>Multiply the Market Risk Premium with the β (Beta Factor)</t>
  </si>
  <si>
    <t>6.05%*1.21</t>
  </si>
  <si>
    <t>Step 3</t>
  </si>
  <si>
    <t>The final step would be totalling and deriving the Required Rate of Return on Equity</t>
  </si>
  <si>
    <t>0.07+0.073205</t>
  </si>
  <si>
    <t>or 14.3205%</t>
  </si>
  <si>
    <t>Overall Calculation</t>
  </si>
  <si>
    <t>0.07+1.21*(0.0605)</t>
  </si>
  <si>
    <t>or 14.32%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</si>
</sst>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0.0%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000%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u/>
      <sz val="13.0"/>
      <color theme="1"/>
      <name val="Calibri"/>
    </font>
    <font>
      <i/>
      <sz val="11.0"/>
      <color rgb="FF202124"/>
      <name val="Calibri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i/>
      <sz val="10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u/>
      <sz val="13.0"/>
      <color theme="1"/>
      <name val="Calibri"/>
    </font>
    <font>
      <b/>
      <u/>
      <sz val="11.0"/>
      <color theme="1"/>
      <name val="Calibri"/>
    </font>
    <font>
      <b/>
      <i/>
      <sz val="11.0"/>
      <color theme="1"/>
      <name val="Calibri"/>
    </font>
    <font>
      <b/>
      <u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16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readingOrder="0"/>
    </xf>
    <xf borderId="3" fillId="3" fontId="1" numFmtId="0" xfId="0" applyBorder="1" applyFont="1"/>
    <xf borderId="1" fillId="2" fontId="3" numFmtId="0" xfId="0" applyBorder="1" applyFont="1"/>
    <xf borderId="1" fillId="2" fontId="4" numFmtId="0" xfId="0" applyBorder="1" applyFont="1"/>
    <xf borderId="2" fillId="3" fontId="5" numFmtId="0" xfId="0" applyAlignment="1" applyBorder="1" applyFont="1">
      <alignment horizontal="center" readingOrder="1"/>
    </xf>
    <xf borderId="3" fillId="3" fontId="5" numFmtId="0" xfId="0" applyAlignment="1" applyBorder="1" applyFont="1">
      <alignment horizontal="center" readingOrder="1"/>
    </xf>
    <xf borderId="3" fillId="3" fontId="5" numFmtId="3" xfId="0" applyAlignment="1" applyBorder="1" applyFont="1" applyNumberFormat="1">
      <alignment horizontal="center" readingOrder="1"/>
    </xf>
    <xf borderId="1" fillId="2" fontId="5" numFmtId="0" xfId="0" applyAlignment="1" applyBorder="1" applyFont="1">
      <alignment horizontal="left" readingOrder="1"/>
    </xf>
    <xf borderId="1" fillId="2" fontId="6" numFmtId="164" xfId="0" applyAlignment="1" applyBorder="1" applyFont="1" applyNumberFormat="1">
      <alignment horizontal="right" readingOrder="1"/>
    </xf>
    <xf borderId="1" fillId="2" fontId="5" numFmtId="164" xfId="0" applyAlignment="1" applyBorder="1" applyFont="1" applyNumberFormat="1">
      <alignment horizontal="right" readingOrder="1"/>
    </xf>
    <xf borderId="1" fillId="2" fontId="5" numFmtId="3" xfId="0" applyAlignment="1" applyBorder="1" applyFont="1" applyNumberFormat="1">
      <alignment horizontal="right" readingOrder="1"/>
    </xf>
    <xf borderId="1" fillId="2" fontId="7" numFmtId="0" xfId="0" applyAlignment="1" applyBorder="1" applyFont="1">
      <alignment horizontal="left" readingOrder="1"/>
    </xf>
    <xf borderId="1" fillId="2" fontId="8" numFmtId="10" xfId="0" applyAlignment="1" applyBorder="1" applyFont="1" applyNumberFormat="1">
      <alignment horizontal="left" readingOrder="1"/>
    </xf>
    <xf borderId="1" fillId="2" fontId="7" numFmtId="165" xfId="0" applyAlignment="1" applyBorder="1" applyFont="1" applyNumberFormat="1">
      <alignment horizontal="right" readingOrder="1"/>
    </xf>
    <xf borderId="1" fillId="2" fontId="8" numFmtId="0" xfId="0" applyAlignment="1" applyBorder="1" applyFont="1">
      <alignment horizontal="left" readingOrder="1"/>
    </xf>
    <xf borderId="1" fillId="2" fontId="8" numFmtId="165" xfId="0" applyAlignment="1" applyBorder="1" applyFont="1" applyNumberFormat="1">
      <alignment horizontal="left" readingOrder="1"/>
    </xf>
    <xf borderId="1" fillId="2" fontId="7" numFmtId="9" xfId="0" applyAlignment="1" applyBorder="1" applyFont="1" applyNumberFormat="1">
      <alignment horizontal="right" readingOrder="1"/>
    </xf>
    <xf borderId="1" fillId="2" fontId="8" numFmtId="0" xfId="0" applyBorder="1" applyFont="1"/>
    <xf borderId="2" fillId="2" fontId="9" numFmtId="0" xfId="0" applyBorder="1" applyFont="1"/>
    <xf borderId="4" fillId="2" fontId="1" numFmtId="0" xfId="0" applyBorder="1" applyFont="1"/>
    <xf borderId="5" fillId="2" fontId="1" numFmtId="9" xfId="0" applyAlignment="1" applyBorder="1" applyFont="1" applyNumberFormat="1">
      <alignment horizontal="right"/>
    </xf>
    <xf borderId="1" fillId="2" fontId="9" numFmtId="0" xfId="0" applyBorder="1" applyFont="1"/>
    <xf borderId="5" fillId="2" fontId="1" numFmtId="3" xfId="0" applyAlignment="1" applyBorder="1" applyFont="1" applyNumberFormat="1">
      <alignment horizontal="right"/>
    </xf>
    <xf borderId="5" fillId="2" fontId="1" numFmtId="164" xfId="0" applyAlignment="1" applyBorder="1" applyFont="1" applyNumberFormat="1">
      <alignment horizontal="right"/>
    </xf>
    <xf borderId="5" fillId="3" fontId="9" numFmtId="0" xfId="0" applyAlignment="1" applyBorder="1" applyFont="1">
      <alignment horizontal="center" vertical="center"/>
    </xf>
    <xf borderId="5" fillId="2" fontId="4" numFmtId="15" xfId="0" applyAlignment="1" applyBorder="1" applyFont="1" applyNumberFormat="1">
      <alignment horizontal="center"/>
    </xf>
    <xf borderId="5" fillId="2" fontId="4" numFmtId="49" xfId="0" applyAlignment="1" applyBorder="1" applyFont="1" applyNumberFormat="1">
      <alignment horizontal="center"/>
    </xf>
    <xf borderId="5" fillId="2" fontId="4" numFmtId="0" xfId="0" applyAlignment="1" applyBorder="1" applyFont="1">
      <alignment horizontal="center"/>
    </xf>
    <xf borderId="5" fillId="2" fontId="4" numFmtId="3" xfId="0" applyAlignment="1" applyBorder="1" applyFont="1" applyNumberFormat="1">
      <alignment horizontal="center"/>
    </xf>
    <xf borderId="5" fillId="2" fontId="1" numFmtId="49" xfId="0" applyAlignment="1" applyBorder="1" applyFont="1" applyNumberFormat="1">
      <alignment horizontal="center"/>
    </xf>
    <xf borderId="5" fillId="2" fontId="4" numFmtId="165" xfId="0" applyAlignment="1" applyBorder="1" applyFont="1" applyNumberFormat="1">
      <alignment horizontal="center"/>
    </xf>
    <xf borderId="5" fillId="2" fontId="4" numFmtId="164" xfId="0" applyAlignment="1" applyBorder="1" applyFont="1" applyNumberFormat="1">
      <alignment horizontal="center"/>
    </xf>
    <xf borderId="5" fillId="2" fontId="4" numFmtId="9" xfId="0" applyAlignment="1" applyBorder="1" applyFont="1" applyNumberFormat="1">
      <alignment horizontal="center"/>
    </xf>
    <xf borderId="6" fillId="2" fontId="1" numFmtId="0" xfId="0" applyBorder="1" applyFont="1"/>
    <xf borderId="7" fillId="2" fontId="1" numFmtId="0" xfId="0" applyBorder="1" applyFont="1"/>
    <xf borderId="5" fillId="3" fontId="9" numFmtId="49" xfId="0" applyAlignment="1" applyBorder="1" applyFont="1" applyNumberFormat="1">
      <alignment horizontal="center"/>
    </xf>
    <xf borderId="1" fillId="2" fontId="9" numFmtId="9" xfId="0" applyBorder="1" applyFont="1" applyNumberFormat="1"/>
    <xf borderId="1" fillId="2" fontId="1" numFmtId="166" xfId="0" applyBorder="1" applyFont="1" applyNumberFormat="1"/>
    <xf borderId="1" fillId="2" fontId="7" numFmtId="0" xfId="0" applyBorder="1" applyFont="1"/>
    <xf borderId="1" fillId="2" fontId="9" numFmtId="49" xfId="0" applyAlignment="1" applyBorder="1" applyFont="1" applyNumberFormat="1">
      <alignment horizontal="right"/>
    </xf>
    <xf borderId="1" fillId="2" fontId="4" numFmtId="0" xfId="0" applyAlignment="1" applyBorder="1" applyFont="1">
      <alignment readingOrder="0"/>
    </xf>
    <xf borderId="1" fillId="2" fontId="9" numFmtId="167" xfId="0" applyAlignment="1" applyBorder="1" applyFont="1" applyNumberFormat="1">
      <alignment horizontal="right"/>
    </xf>
    <xf borderId="2" fillId="3" fontId="10" numFmtId="0" xfId="0" applyBorder="1" applyFont="1"/>
    <xf borderId="1" fillId="2" fontId="11" numFmtId="0" xfId="0" applyBorder="1" applyFont="1"/>
    <xf borderId="3" fillId="2" fontId="9" numFmtId="0" xfId="0" applyBorder="1" applyFont="1"/>
    <xf borderId="3" fillId="2" fontId="1" numFmtId="0" xfId="0" applyBorder="1" applyFont="1"/>
    <xf borderId="7" fillId="2" fontId="9" numFmtId="0" xfId="0" applyBorder="1" applyFont="1"/>
    <xf borderId="2" fillId="3" fontId="9" numFmtId="0" xfId="0" applyBorder="1" applyFont="1"/>
    <xf borderId="3" fillId="3" fontId="9" numFmtId="0" xfId="0" applyBorder="1" applyFont="1"/>
    <xf borderId="4" fillId="3" fontId="9" numFmtId="0" xfId="0" applyBorder="1" applyFont="1"/>
    <xf borderId="8" fillId="2" fontId="4" numFmtId="0" xfId="0" applyBorder="1" applyFont="1"/>
    <xf borderId="9" fillId="2" fontId="4" numFmtId="0" xfId="0" applyBorder="1" applyFont="1"/>
    <xf borderId="10" fillId="2" fontId="4" numFmtId="0" xfId="0" applyBorder="1" applyFont="1"/>
    <xf borderId="11" fillId="2" fontId="4" numFmtId="0" xfId="0" applyBorder="1" applyFont="1"/>
    <xf borderId="1" fillId="2" fontId="4" numFmtId="0" xfId="0" applyAlignment="1" applyBorder="1" applyFont="1">
      <alignment horizontal="right"/>
    </xf>
    <xf borderId="5" fillId="2" fontId="4" numFmtId="0" xfId="0" applyBorder="1" applyFont="1"/>
    <xf borderId="4" fillId="2" fontId="4" numFmtId="0" xfId="0" applyBorder="1" applyFont="1"/>
    <xf borderId="6" fillId="2" fontId="4" numFmtId="0" xfId="0" applyBorder="1" applyFont="1"/>
    <xf borderId="4" fillId="2" fontId="12" numFmtId="3" xfId="0" applyBorder="1" applyFont="1" applyNumberFormat="1"/>
    <xf borderId="5" fillId="2" fontId="12" numFmtId="3" xfId="0" applyBorder="1" applyFont="1" applyNumberFormat="1"/>
    <xf borderId="2" fillId="2" fontId="4" numFmtId="0" xfId="0" applyBorder="1" applyFont="1"/>
    <xf borderId="2" fillId="2" fontId="4" numFmtId="3" xfId="0" applyBorder="1" applyFont="1" applyNumberFormat="1"/>
    <xf borderId="5" fillId="2" fontId="4" numFmtId="3" xfId="0" applyBorder="1" applyFont="1" applyNumberFormat="1"/>
    <xf borderId="3" fillId="2" fontId="4" numFmtId="3" xfId="0" applyBorder="1" applyFont="1" applyNumberFormat="1"/>
    <xf borderId="4" fillId="2" fontId="1" numFmtId="3" xfId="0" applyBorder="1" applyFont="1" applyNumberFormat="1"/>
    <xf borderId="3" fillId="2" fontId="4" numFmtId="0" xfId="0" applyBorder="1" applyFont="1"/>
    <xf borderId="12" fillId="2" fontId="4" numFmtId="3" xfId="0" applyBorder="1" applyFont="1" applyNumberFormat="1"/>
    <xf borderId="13" fillId="2" fontId="4" numFmtId="3" xfId="0" applyBorder="1" applyFont="1" applyNumberFormat="1"/>
    <xf borderId="14" fillId="2" fontId="4" numFmtId="3" xfId="0" applyBorder="1" applyFont="1" applyNumberFormat="1"/>
    <xf borderId="15" fillId="2" fontId="1" numFmtId="0" xfId="0" applyBorder="1" applyFont="1"/>
    <xf borderId="7" fillId="2" fontId="4" numFmtId="0" xfId="0" applyBorder="1" applyFont="1"/>
    <xf borderId="12" fillId="2" fontId="4" numFmtId="0" xfId="0" applyBorder="1" applyFont="1"/>
    <xf borderId="14" fillId="2" fontId="4" numFmtId="0" xfId="0" applyBorder="1" applyFont="1"/>
    <xf borderId="15" fillId="2" fontId="4" numFmtId="0" xfId="0" applyBorder="1" applyFont="1"/>
    <xf borderId="5" fillId="2" fontId="1" numFmtId="3" xfId="0" applyBorder="1" applyFont="1" applyNumberFormat="1"/>
    <xf borderId="7" fillId="2" fontId="12" numFmtId="3" xfId="0" applyBorder="1" applyFont="1" applyNumberFormat="1"/>
    <xf borderId="11" fillId="2" fontId="12" numFmtId="3" xfId="0" applyBorder="1" applyFont="1" applyNumberFormat="1"/>
    <xf borderId="1" fillId="2" fontId="4" numFmtId="3" xfId="0" applyBorder="1" applyFont="1" applyNumberFormat="1"/>
    <xf borderId="1" fillId="2" fontId="1" numFmtId="3" xfId="0" applyBorder="1" applyFont="1" applyNumberFormat="1"/>
    <xf borderId="1" fillId="2" fontId="12" numFmtId="3" xfId="0" applyBorder="1" applyFont="1" applyNumberFormat="1"/>
    <xf borderId="2" fillId="3" fontId="12" numFmtId="0" xfId="0" applyAlignment="1" applyBorder="1" applyFont="1">
      <alignment horizontal="center"/>
    </xf>
    <xf borderId="4" fillId="3" fontId="12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2" fillId="3" fontId="1" numFmtId="0" xfId="0" applyBorder="1" applyFont="1"/>
    <xf borderId="3" fillId="3" fontId="13" numFmtId="0" xfId="0" applyBorder="1" applyFont="1"/>
    <xf borderId="12" fillId="2" fontId="1" numFmtId="0" xfId="0" applyBorder="1" applyFont="1"/>
    <xf borderId="14" fillId="2" fontId="1" numFmtId="0" xfId="0" applyBorder="1" applyFont="1"/>
    <xf borderId="8" fillId="2" fontId="1" numFmtId="0" xfId="0" applyBorder="1" applyFont="1"/>
    <xf borderId="9" fillId="2" fontId="1" numFmtId="0" xfId="0" applyBorder="1" applyFont="1"/>
    <xf borderId="7" fillId="2" fontId="1" numFmtId="168" xfId="0" applyBorder="1" applyFont="1" applyNumberFormat="1"/>
    <xf borderId="10" fillId="2" fontId="1" numFmtId="0" xfId="0" applyBorder="1" applyFont="1"/>
    <xf borderId="7" fillId="2" fontId="12" numFmtId="0" xfId="0" applyBorder="1" applyFont="1"/>
    <xf borderId="12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right"/>
    </xf>
    <xf borderId="9" fillId="2" fontId="4" numFmtId="0" xfId="0" applyAlignment="1" applyBorder="1" applyFont="1">
      <alignment horizontal="right"/>
    </xf>
    <xf borderId="7" fillId="2" fontId="12" numFmtId="0" xfId="0" applyAlignment="1" applyBorder="1" applyFont="1">
      <alignment horizontal="right"/>
    </xf>
    <xf borderId="10" fillId="2" fontId="1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hidden="1" min="2" max="2" width="9.14"/>
    <col customWidth="1" min="3" max="10" width="9.14"/>
    <col customWidth="1" min="11" max="11" width="23.86"/>
    <col customWidth="1" min="12" max="16" width="9.14"/>
    <col customWidth="1" min="17" max="27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idden="1">
      <c r="A3" s="4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idden="1">
      <c r="A4" s="5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idden="1">
      <c r="A5" s="5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idden="1">
      <c r="A6" s="5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idden="1">
      <c r="A7" s="4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6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/>
      <c r="J9" s="3"/>
      <c r="K9" s="7" t="s">
        <v>6</v>
      </c>
      <c r="L9" s="8" t="s">
        <v>14</v>
      </c>
      <c r="M9" s="8" t="s">
        <v>15</v>
      </c>
      <c r="N9" s="8" t="s">
        <v>16</v>
      </c>
      <c r="O9" s="8" t="s">
        <v>17</v>
      </c>
      <c r="P9" s="8" t="s">
        <v>18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9" t="s">
        <v>19</v>
      </c>
      <c r="B10" s="10">
        <v>20160.0</v>
      </c>
      <c r="C10" s="10">
        <v>18849.0</v>
      </c>
      <c r="D10" s="10">
        <v>19421.0</v>
      </c>
      <c r="E10" s="10">
        <v>24355.0</v>
      </c>
      <c r="F10" s="10">
        <v>31974.0</v>
      </c>
      <c r="G10" s="11">
        <v>39145.0</v>
      </c>
      <c r="H10" s="11">
        <v>44089.0</v>
      </c>
      <c r="I10" s="11"/>
      <c r="J10" s="1"/>
      <c r="K10" s="9" t="s">
        <v>19</v>
      </c>
      <c r="L10" s="12">
        <f>H10*(1.165)</f>
        <v>51363.685</v>
      </c>
      <c r="M10" s="12">
        <f>L10*1.168</f>
        <v>59992.78408</v>
      </c>
      <c r="N10" s="12">
        <f>M10*1.158</f>
        <v>69471.64396</v>
      </c>
      <c r="O10" s="12">
        <f>N10*1.155</f>
        <v>80239.74878</v>
      </c>
      <c r="P10" s="12">
        <f>O10*1.152</f>
        <v>92436.19059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3" t="s">
        <v>20</v>
      </c>
      <c r="B11" s="14"/>
      <c r="C11" s="15">
        <f t="shared" ref="C11:H11" si="1">C10/B10-1</f>
        <v>-0.0650297619</v>
      </c>
      <c r="D11" s="15">
        <f t="shared" si="1"/>
        <v>0.03034643748</v>
      </c>
      <c r="E11" s="15">
        <f t="shared" si="1"/>
        <v>0.254054889</v>
      </c>
      <c r="F11" s="15">
        <f t="shared" si="1"/>
        <v>0.3128310409</v>
      </c>
      <c r="G11" s="15">
        <f t="shared" si="1"/>
        <v>0.2242759742</v>
      </c>
      <c r="H11" s="15">
        <f t="shared" si="1"/>
        <v>0.1262996551</v>
      </c>
      <c r="I11" s="15">
        <f>AVERAGE(C11:H11)</f>
        <v>0.1471297058</v>
      </c>
      <c r="J11" s="1"/>
      <c r="K11" s="13" t="s">
        <v>20</v>
      </c>
      <c r="L11" s="15">
        <f>L10/H10-1</f>
        <v>0.165</v>
      </c>
      <c r="M11" s="15">
        <f t="shared" ref="M11:P11" si="2">M10/L10-1</f>
        <v>0.168</v>
      </c>
      <c r="N11" s="15">
        <f t="shared" si="2"/>
        <v>0.158</v>
      </c>
      <c r="O11" s="15">
        <f t="shared" si="2"/>
        <v>0.155</v>
      </c>
      <c r="P11" s="15">
        <f t="shared" si="2"/>
        <v>0.152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9" t="s">
        <v>21</v>
      </c>
      <c r="B13" s="10">
        <v>2163.0</v>
      </c>
      <c r="C13" s="10">
        <v>2264.0</v>
      </c>
      <c r="D13" s="10">
        <v>2232.0</v>
      </c>
      <c r="E13" s="10">
        <v>2755.0</v>
      </c>
      <c r="F13" s="10">
        <v>4027.0</v>
      </c>
      <c r="G13" s="11">
        <v>5500.0</v>
      </c>
      <c r="H13" s="11">
        <v>6575.0</v>
      </c>
      <c r="I13" s="11"/>
      <c r="J13" s="1"/>
      <c r="K13" s="9"/>
      <c r="L13" s="12"/>
      <c r="M13" s="12"/>
      <c r="N13" s="12"/>
      <c r="O13" s="12"/>
      <c r="P13" s="1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3" t="s">
        <v>20</v>
      </c>
      <c r="B14" s="15"/>
      <c r="C14" s="15">
        <f t="shared" ref="C14:H14" si="3">C13/B13-1</f>
        <v>0.04669440592</v>
      </c>
      <c r="D14" s="15">
        <f t="shared" si="3"/>
        <v>-0.01413427562</v>
      </c>
      <c r="E14" s="15">
        <f t="shared" si="3"/>
        <v>0.2343189964</v>
      </c>
      <c r="F14" s="15">
        <f t="shared" si="3"/>
        <v>0.4617059891</v>
      </c>
      <c r="G14" s="15">
        <f t="shared" si="3"/>
        <v>0.3657809784</v>
      </c>
      <c r="H14" s="15">
        <f t="shared" si="3"/>
        <v>0.1954545455</v>
      </c>
      <c r="I14" s="15">
        <f t="shared" ref="I14:I15" si="5">AVERAGE(C14:H14)</f>
        <v>0.2149701066</v>
      </c>
      <c r="J14" s="15"/>
      <c r="K14" s="13"/>
      <c r="L14" s="15"/>
      <c r="M14" s="15"/>
      <c r="N14" s="15"/>
      <c r="O14" s="15"/>
      <c r="P14" s="15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3" t="s">
        <v>22</v>
      </c>
      <c r="B15" s="15">
        <f t="shared" ref="B15:H15" si="4">B13/B10</f>
        <v>0.1072916667</v>
      </c>
      <c r="C15" s="15">
        <f t="shared" si="4"/>
        <v>0.1201124728</v>
      </c>
      <c r="D15" s="15">
        <f t="shared" si="4"/>
        <v>0.1149271407</v>
      </c>
      <c r="E15" s="15">
        <f t="shared" si="4"/>
        <v>0.1131184562</v>
      </c>
      <c r="F15" s="15">
        <f t="shared" si="4"/>
        <v>0.1259460812</v>
      </c>
      <c r="G15" s="15">
        <f t="shared" si="4"/>
        <v>0.1405032571</v>
      </c>
      <c r="H15" s="15">
        <f t="shared" si="4"/>
        <v>0.1491301685</v>
      </c>
      <c r="I15" s="15">
        <f t="shared" si="5"/>
        <v>0.1272895961</v>
      </c>
      <c r="J15" s="1"/>
      <c r="K15" s="13"/>
      <c r="L15" s="15"/>
      <c r="M15" s="15"/>
      <c r="N15" s="15"/>
      <c r="O15" s="15"/>
      <c r="P15" s="15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"/>
      <c r="K16" s="1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9" t="s">
        <v>23</v>
      </c>
      <c r="B17" s="10">
        <v>704.67</v>
      </c>
      <c r="C17" s="10">
        <v>624.62</v>
      </c>
      <c r="D17" s="10">
        <v>594.26</v>
      </c>
      <c r="E17" s="10">
        <v>756.82</v>
      </c>
      <c r="F17" s="10">
        <v>1328.67</v>
      </c>
      <c r="G17" s="11">
        <v>1686.37</v>
      </c>
      <c r="H17" s="11">
        <v>2235.56</v>
      </c>
      <c r="I17" s="11"/>
      <c r="J17" s="1"/>
      <c r="K17" s="9"/>
      <c r="L17" s="12"/>
      <c r="M17" s="12"/>
      <c r="N17" s="12"/>
      <c r="O17" s="12"/>
      <c r="P17" s="1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3" t="s">
        <v>20</v>
      </c>
      <c r="B18" s="17"/>
      <c r="C18" s="15">
        <f t="shared" ref="C18:H18" si="6">C17/B17-1</f>
        <v>-0.1135992734</v>
      </c>
      <c r="D18" s="15">
        <f t="shared" si="6"/>
        <v>-0.04860555218</v>
      </c>
      <c r="E18" s="15">
        <f t="shared" si="6"/>
        <v>0.2735502978</v>
      </c>
      <c r="F18" s="15">
        <f t="shared" si="6"/>
        <v>0.7555957824</v>
      </c>
      <c r="G18" s="15">
        <f t="shared" si="6"/>
        <v>0.269216585</v>
      </c>
      <c r="H18" s="15">
        <f t="shared" si="6"/>
        <v>0.3256640002</v>
      </c>
      <c r="I18" s="15">
        <f t="shared" ref="I18:I19" si="8">AVERAGE(C18:H18)</f>
        <v>0.2436369733</v>
      </c>
      <c r="J18" s="15"/>
      <c r="K18" s="13"/>
      <c r="L18" s="15"/>
      <c r="M18" s="15"/>
      <c r="N18" s="15"/>
      <c r="O18" s="15"/>
      <c r="P18" s="1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3" t="s">
        <v>22</v>
      </c>
      <c r="B19" s="15">
        <f t="shared" ref="B19:H19" si="7">B17/B10</f>
        <v>0.03495386905</v>
      </c>
      <c r="C19" s="15">
        <f t="shared" si="7"/>
        <v>0.03313809751</v>
      </c>
      <c r="D19" s="15">
        <f t="shared" si="7"/>
        <v>0.03059883631</v>
      </c>
      <c r="E19" s="15">
        <f t="shared" si="7"/>
        <v>0.03107452269</v>
      </c>
      <c r="F19" s="15">
        <f t="shared" si="7"/>
        <v>0.04155470069</v>
      </c>
      <c r="G19" s="15">
        <f t="shared" si="7"/>
        <v>0.04308008686</v>
      </c>
      <c r="H19" s="15">
        <f t="shared" si="7"/>
        <v>0.05070561818</v>
      </c>
      <c r="I19" s="15">
        <f t="shared" si="8"/>
        <v>0.03835864371</v>
      </c>
      <c r="J19" s="1"/>
      <c r="K19" s="13"/>
      <c r="L19" s="18"/>
      <c r="M19" s="18"/>
      <c r="N19" s="18"/>
      <c r="O19" s="18"/>
      <c r="P19" s="18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9" t="s">
        <v>24</v>
      </c>
      <c r="B21" s="10"/>
      <c r="C21" s="10">
        <f>'MVS - Calculation of FCFE'!E48</f>
        <v>7316.43</v>
      </c>
      <c r="D21" s="10">
        <f>'MVS - Calculation of FCFE'!F48</f>
        <v>7908.47</v>
      </c>
      <c r="E21" s="10">
        <f>'MVS - Calculation of FCFE'!G48</f>
        <v>10653.95</v>
      </c>
      <c r="F21" s="10">
        <f>'MVS - Calculation of FCFE'!H48</f>
        <v>14567.33</v>
      </c>
      <c r="G21" s="10">
        <f>'MVS - Calculation of FCFE'!I48</f>
        <v>20245.21</v>
      </c>
      <c r="H21" s="10">
        <f>'MVS - Calculation of FCFE'!J48</f>
        <v>26478.36</v>
      </c>
      <c r="I21" s="11"/>
      <c r="J21" s="1"/>
      <c r="K21" s="9" t="s">
        <v>24</v>
      </c>
      <c r="L21" s="12">
        <f>L10*51.2%</f>
        <v>26298.20672</v>
      </c>
      <c r="M21" s="12">
        <f>L21*(1.254)</f>
        <v>32977.95123</v>
      </c>
      <c r="N21" s="12">
        <f>M21*(1.261)</f>
        <v>41585.1965</v>
      </c>
      <c r="O21" s="12">
        <f>N21*1.269</f>
        <v>52771.61435</v>
      </c>
      <c r="P21" s="12">
        <f>O21*1.271</f>
        <v>67072.72184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3" t="s">
        <v>20</v>
      </c>
      <c r="B22" s="17"/>
      <c r="C22" s="15"/>
      <c r="D22" s="15">
        <f t="shared" ref="D22:F22" si="9">D21/C21-1</f>
        <v>0.08091924614</v>
      </c>
      <c r="E22" s="15">
        <f t="shared" si="9"/>
        <v>0.347156909</v>
      </c>
      <c r="F22" s="15">
        <f t="shared" si="9"/>
        <v>0.3673172861</v>
      </c>
      <c r="G22" s="15">
        <f t="shared" ref="G22:H22" si="10">G21/E21-1</f>
        <v>0.9002538964</v>
      </c>
      <c r="H22" s="15">
        <f t="shared" si="10"/>
        <v>0.8176536126</v>
      </c>
      <c r="I22" s="15">
        <f t="shared" ref="I22:I23" si="13">AVERAGE(C22:H22)</f>
        <v>0.50266019</v>
      </c>
      <c r="J22" s="15"/>
      <c r="K22" s="13" t="s">
        <v>20</v>
      </c>
      <c r="L22" s="15">
        <f>L21/H21-1</f>
        <v>-0.006803792984</v>
      </c>
      <c r="M22" s="15">
        <f t="shared" ref="M22:P22" si="11">M21/L21-1</f>
        <v>0.254</v>
      </c>
      <c r="N22" s="15">
        <f t="shared" si="11"/>
        <v>0.261</v>
      </c>
      <c r="O22" s="15">
        <f t="shared" si="11"/>
        <v>0.269</v>
      </c>
      <c r="P22" s="15">
        <f t="shared" si="11"/>
        <v>0.271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3" t="s">
        <v>22</v>
      </c>
      <c r="B23" s="15">
        <f t="shared" ref="B23:H23" si="12">B21/B10</f>
        <v>0</v>
      </c>
      <c r="C23" s="15">
        <f t="shared" si="12"/>
        <v>0.3881601146</v>
      </c>
      <c r="D23" s="15">
        <f t="shared" si="12"/>
        <v>0.407212296</v>
      </c>
      <c r="E23" s="15">
        <f t="shared" si="12"/>
        <v>0.4374440567</v>
      </c>
      <c r="F23" s="15">
        <f t="shared" si="12"/>
        <v>0.4555992369</v>
      </c>
      <c r="G23" s="15">
        <f t="shared" si="12"/>
        <v>0.5171850811</v>
      </c>
      <c r="H23" s="15">
        <f t="shared" si="12"/>
        <v>0.6005661276</v>
      </c>
      <c r="I23" s="15">
        <f t="shared" si="13"/>
        <v>0.4676944855</v>
      </c>
      <c r="J23" s="15"/>
      <c r="K23" s="13" t="s">
        <v>22</v>
      </c>
      <c r="L23" s="15">
        <f t="shared" ref="L23:P23" si="14">L21/L10</f>
        <v>0.512</v>
      </c>
      <c r="M23" s="15">
        <f t="shared" si="14"/>
        <v>0.5496986301</v>
      </c>
      <c r="N23" s="15">
        <f t="shared" si="14"/>
        <v>0.598592377</v>
      </c>
      <c r="O23" s="15">
        <f t="shared" si="14"/>
        <v>0.657674222</v>
      </c>
      <c r="P23" s="15">
        <f t="shared" si="14"/>
        <v>0.7256110557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13.43"/>
    <col customWidth="1" min="3" max="3" width="14.71"/>
    <col customWidth="1" min="4" max="4" width="10.71"/>
    <col customWidth="1" min="5" max="5" width="12.14"/>
    <col customWidth="1" min="6" max="6" width="17.57"/>
    <col customWidth="1" min="7" max="7" width="14.29"/>
    <col customWidth="1" min="8" max="12" width="9.14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idden="1">
      <c r="A3" s="4" t="s">
        <v>1</v>
      </c>
      <c r="B3" s="5"/>
      <c r="C3" s="1"/>
      <c r="D3" s="1"/>
      <c r="E3" s="1"/>
      <c r="F3" s="1"/>
      <c r="G3" s="1"/>
      <c r="H3" s="19"/>
      <c r="I3" s="19"/>
      <c r="J3" s="19"/>
      <c r="K3" s="19"/>
      <c r="L3" s="19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idden="1">
      <c r="A4" s="5" t="s">
        <v>2</v>
      </c>
      <c r="B4" s="5"/>
      <c r="C4" s="1"/>
      <c r="D4" s="1"/>
      <c r="E4" s="1"/>
      <c r="F4" s="1"/>
      <c r="G4" s="1"/>
      <c r="H4" s="19"/>
      <c r="I4" s="19"/>
      <c r="J4" s="19"/>
      <c r="K4" s="19"/>
      <c r="L4" s="19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idden="1">
      <c r="A5" s="5" t="s">
        <v>3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idden="1">
      <c r="A6" s="5" t="s">
        <v>4</v>
      </c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idden="1">
      <c r="A7" s="4" t="s">
        <v>5</v>
      </c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0" t="s">
        <v>25</v>
      </c>
      <c r="B9" s="21"/>
      <c r="C9" s="22">
        <v>0.07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3" t="s">
        <v>26</v>
      </c>
      <c r="B10" s="1"/>
      <c r="C10" s="22">
        <v>0.1432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 t="s">
        <v>27</v>
      </c>
      <c r="B11" s="21"/>
      <c r="C11" s="24">
        <f>D19</f>
        <v>67072.72184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 t="s">
        <v>28</v>
      </c>
      <c r="B12" s="21"/>
      <c r="C12" s="25">
        <f>C11*(1+C9)/(C10-C9)</f>
        <v>980434.5953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6" t="s">
        <v>29</v>
      </c>
      <c r="B14" s="26" t="s">
        <v>30</v>
      </c>
      <c r="C14" s="26" t="s">
        <v>31</v>
      </c>
      <c r="D14" s="26" t="s">
        <v>32</v>
      </c>
      <c r="E14" s="26" t="s">
        <v>33</v>
      </c>
      <c r="F14" s="26" t="s">
        <v>34</v>
      </c>
      <c r="G14" s="26" t="s">
        <v>35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7">
        <v>46112.0</v>
      </c>
      <c r="B15" s="28">
        <v>1.0</v>
      </c>
      <c r="C15" s="29" t="s">
        <v>36</v>
      </c>
      <c r="D15" s="30">
        <f>'MVS - Forecasts'!L21</f>
        <v>26298.20672</v>
      </c>
      <c r="E15" s="29"/>
      <c r="F15" s="31">
        <f t="shared" ref="F15:F20" si="1">1/(1+$B$24)^B15</f>
        <v>0.8747375787</v>
      </c>
      <c r="G15" s="31">
        <f t="shared" ref="G15:G20" si="2">D15*F15</f>
        <v>23004.02967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7">
        <f t="shared" ref="A16:A20" si="3">EOMONTH(A15,12)</f>
        <v>46477</v>
      </c>
      <c r="B16" s="28">
        <f>B15+1</f>
        <v>2</v>
      </c>
      <c r="C16" s="29" t="s">
        <v>37</v>
      </c>
      <c r="D16" s="30">
        <f>'MVS - Forecasts'!M21</f>
        <v>32977.95123</v>
      </c>
      <c r="E16" s="32">
        <f t="shared" ref="E16:E19" si="4">D16/D15-1</f>
        <v>0.254</v>
      </c>
      <c r="F16" s="31">
        <f t="shared" si="1"/>
        <v>0.7651658316</v>
      </c>
      <c r="G16" s="31">
        <f t="shared" si="2"/>
        <v>25233.60148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7">
        <f t="shared" si="3"/>
        <v>46843</v>
      </c>
      <c r="B17" s="28">
        <v>3.0</v>
      </c>
      <c r="C17" s="29" t="s">
        <v>38</v>
      </c>
      <c r="D17" s="30">
        <f>'MVS - Forecasts'!N21</f>
        <v>41585.1965</v>
      </c>
      <c r="E17" s="32">
        <f t="shared" si="4"/>
        <v>0.261</v>
      </c>
      <c r="F17" s="31">
        <f t="shared" si="1"/>
        <v>0.6693193069</v>
      </c>
      <c r="G17" s="31">
        <f t="shared" si="2"/>
        <v>27833.7749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7">
        <f t="shared" si="3"/>
        <v>47208</v>
      </c>
      <c r="B18" s="28">
        <f t="shared" ref="B18:B20" si="5">B17+1</f>
        <v>4</v>
      </c>
      <c r="C18" s="29" t="s">
        <v>39</v>
      </c>
      <c r="D18" s="30">
        <f>'MVS - Forecasts'!O21</f>
        <v>52771.61435</v>
      </c>
      <c r="E18" s="32">
        <f t="shared" si="4"/>
        <v>0.269</v>
      </c>
      <c r="F18" s="31">
        <f t="shared" si="1"/>
        <v>0.5854787499</v>
      </c>
      <c r="G18" s="31">
        <f t="shared" si="2"/>
        <v>30896.6588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7">
        <f t="shared" si="3"/>
        <v>47573</v>
      </c>
      <c r="B19" s="28">
        <f t="shared" si="5"/>
        <v>5</v>
      </c>
      <c r="C19" s="29" t="s">
        <v>40</v>
      </c>
      <c r="D19" s="30">
        <f>'MVS - Forecasts'!P21</f>
        <v>67072.72184</v>
      </c>
      <c r="E19" s="32">
        <f t="shared" si="4"/>
        <v>0.271</v>
      </c>
      <c r="F19" s="31">
        <f t="shared" si="1"/>
        <v>0.5121402641</v>
      </c>
      <c r="G19" s="31">
        <f t="shared" si="2"/>
        <v>34350.64148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7">
        <f t="shared" si="3"/>
        <v>47938</v>
      </c>
      <c r="B20" s="28">
        <f t="shared" si="5"/>
        <v>6</v>
      </c>
      <c r="C20" s="29" t="s">
        <v>28</v>
      </c>
      <c r="D20" s="33">
        <f>C12</f>
        <v>980434.5953</v>
      </c>
      <c r="E20" s="34">
        <v>0.07</v>
      </c>
      <c r="F20" s="31">
        <f t="shared" si="1"/>
        <v>0.4479883346</v>
      </c>
      <c r="G20" s="31">
        <f t="shared" si="2"/>
        <v>439223.2615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5"/>
      <c r="B21" s="36"/>
      <c r="C21" s="36"/>
      <c r="D21" s="36"/>
      <c r="E21" s="36"/>
      <c r="F21" s="36"/>
      <c r="G21" s="37">
        <f>SUM(G15:G20)</f>
        <v>580541.9678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3" t="s">
        <v>41</v>
      </c>
      <c r="B24" s="38">
        <v>0.1432</v>
      </c>
      <c r="C24" s="1"/>
      <c r="D24" s="1"/>
      <c r="E24" s="1"/>
      <c r="F24" s="1"/>
      <c r="G24" s="3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0" t="s">
        <v>42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3" t="s">
        <v>43</v>
      </c>
      <c r="B27" s="41">
        <f>G21</f>
        <v>580541.9678</v>
      </c>
      <c r="C27" s="23" t="s">
        <v>44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42" t="s">
        <v>45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3" t="s">
        <v>46</v>
      </c>
      <c r="B30" s="43">
        <v>137000.0</v>
      </c>
      <c r="C30" s="23" t="s">
        <v>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hidden="1" customHeight="1">
      <c r="A31" s="23" t="s">
        <v>47</v>
      </c>
      <c r="B31" s="23">
        <v>2.73768554E8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9.14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4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5" t="s">
        <v>49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50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51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52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53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54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6" t="s">
        <v>55</v>
      </c>
      <c r="B12" s="36"/>
      <c r="C12" s="3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6" t="s">
        <v>56</v>
      </c>
      <c r="B13" s="47"/>
      <c r="C13" s="4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57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6" t="s">
        <v>59</v>
      </c>
      <c r="B18" s="36"/>
      <c r="C18" s="48" t="s">
        <v>60</v>
      </c>
      <c r="D18" s="48"/>
      <c r="E18" s="4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3"/>
      <c r="C19" s="47" t="s">
        <v>61</v>
      </c>
      <c r="D19" s="47"/>
      <c r="E19" s="4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46" t="s">
        <v>62</v>
      </c>
      <c r="D20" s="47"/>
      <c r="E20" s="4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63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46" t="s">
        <v>65</v>
      </c>
      <c r="B25" s="4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66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49" t="s">
        <v>67</v>
      </c>
      <c r="B29" s="50" t="s">
        <v>68</v>
      </c>
      <c r="C29" s="50"/>
      <c r="D29" s="50"/>
      <c r="E29" s="50"/>
      <c r="F29" s="50"/>
      <c r="G29" s="50"/>
      <c r="H29" s="50"/>
      <c r="I29" s="5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52"/>
      <c r="C30" s="53"/>
      <c r="D30" s="54">
        <v>20.0</v>
      </c>
      <c r="E30" s="55">
        <v>21.0</v>
      </c>
      <c r="F30" s="55">
        <v>22.0</v>
      </c>
      <c r="G30" s="55">
        <v>23.0</v>
      </c>
      <c r="H30" s="55">
        <v>24.0</v>
      </c>
      <c r="I30" s="55">
        <v>25.0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6"/>
      <c r="B31" s="57" t="s">
        <v>69</v>
      </c>
      <c r="C31" s="57"/>
      <c r="D31" s="58">
        <f>4485+217+115</f>
        <v>4817</v>
      </c>
      <c r="E31" s="57">
        <f>4818+240+129</f>
        <v>5187</v>
      </c>
      <c r="F31" s="57">
        <f>5542+284+151</f>
        <v>5977</v>
      </c>
      <c r="G31" s="57">
        <f>5411+311+171</f>
        <v>5893</v>
      </c>
      <c r="H31" s="57">
        <f>5683+359+238</f>
        <v>6280</v>
      </c>
      <c r="I31" s="57">
        <v>5488.0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6"/>
      <c r="B32" s="57" t="s">
        <v>70</v>
      </c>
      <c r="C32" s="57"/>
      <c r="D32" s="58">
        <f>-(4126+191+105)</f>
        <v>-4422</v>
      </c>
      <c r="E32" s="57">
        <f t="shared" ref="E32:I32" si="1">-D31</f>
        <v>-4817</v>
      </c>
      <c r="F32" s="57">
        <f t="shared" si="1"/>
        <v>-5187</v>
      </c>
      <c r="G32" s="57">
        <f t="shared" si="1"/>
        <v>-5977</v>
      </c>
      <c r="H32" s="57">
        <f t="shared" si="1"/>
        <v>-5893</v>
      </c>
      <c r="I32" s="57">
        <f t="shared" si="1"/>
        <v>-6280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56"/>
      <c r="B33" s="57" t="s">
        <v>71</v>
      </c>
      <c r="C33" s="57"/>
      <c r="D33" s="58">
        <v>556.0</v>
      </c>
      <c r="E33" s="57">
        <v>564.82</v>
      </c>
      <c r="F33" s="57">
        <v>742.86</v>
      </c>
      <c r="G33" s="57">
        <v>858.86</v>
      </c>
      <c r="H33" s="57">
        <v>975.12</v>
      </c>
      <c r="I33" s="57">
        <v>1045.56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9"/>
      <c r="C34" s="54"/>
      <c r="D34" s="60">
        <f>SUM(D31:D33)</f>
        <v>951</v>
      </c>
      <c r="E34" s="61">
        <f>E31+E32+E33</f>
        <v>934.82</v>
      </c>
      <c r="F34" s="61">
        <f t="shared" ref="F34:I34" si="2">SUM(F31:F33)</f>
        <v>1532.86</v>
      </c>
      <c r="G34" s="61">
        <f t="shared" si="2"/>
        <v>774.86</v>
      </c>
      <c r="H34" s="61">
        <f t="shared" si="2"/>
        <v>1362.12</v>
      </c>
      <c r="I34" s="61">
        <f t="shared" si="2"/>
        <v>253.56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49" t="s">
        <v>67</v>
      </c>
      <c r="B36" s="50" t="s">
        <v>65</v>
      </c>
      <c r="C36" s="50"/>
      <c r="D36" s="50"/>
      <c r="E36" s="50"/>
      <c r="F36" s="50"/>
      <c r="G36" s="50"/>
      <c r="H36" s="50"/>
      <c r="I36" s="5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2"/>
      <c r="C37" s="53"/>
      <c r="D37" s="54">
        <v>20.0</v>
      </c>
      <c r="E37" s="55">
        <v>21.0</v>
      </c>
      <c r="F37" s="55">
        <v>22.0</v>
      </c>
      <c r="G37" s="55">
        <v>23.0</v>
      </c>
      <c r="H37" s="55">
        <v>24.0</v>
      </c>
      <c r="I37" s="55">
        <v>25.0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56"/>
      <c r="B38" s="62" t="s">
        <v>72</v>
      </c>
      <c r="C38" s="58"/>
      <c r="D38" s="63">
        <v>5221.0</v>
      </c>
      <c r="E38" s="64">
        <v>6280.0</v>
      </c>
      <c r="F38" s="65">
        <v>7306.0</v>
      </c>
      <c r="G38" s="64">
        <v>9064.0</v>
      </c>
      <c r="H38" s="64">
        <v>12629.0</v>
      </c>
      <c r="I38" s="66">
        <v>13932.0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6"/>
      <c r="B39" s="52" t="s">
        <v>73</v>
      </c>
      <c r="C39" s="53"/>
      <c r="D39" s="62">
        <v>3781.0</v>
      </c>
      <c r="E39" s="57">
        <v>3069.0</v>
      </c>
      <c r="F39" s="67">
        <v>7992.0</v>
      </c>
      <c r="G39" s="57">
        <v>12562.0</v>
      </c>
      <c r="H39" s="57">
        <v>12657.0</v>
      </c>
      <c r="I39" s="58">
        <v>13683.0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6"/>
      <c r="B40" s="62" t="s">
        <v>74</v>
      </c>
      <c r="C40" s="58"/>
      <c r="D40" s="68">
        <v>1108.0</v>
      </c>
      <c r="E40" s="69">
        <v>1657.0</v>
      </c>
      <c r="F40" s="70">
        <v>1536.0</v>
      </c>
      <c r="G40" s="69">
        <v>1879.0</v>
      </c>
      <c r="H40" s="69">
        <v>2426.0</v>
      </c>
      <c r="I40" s="71">
        <v>4386.0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59"/>
      <c r="C41" s="72"/>
      <c r="D41" s="61">
        <f t="shared" ref="D41:I41" si="3">(D38+D39)-D40</f>
        <v>7894</v>
      </c>
      <c r="E41" s="61">
        <f t="shared" si="3"/>
        <v>7692</v>
      </c>
      <c r="F41" s="61">
        <f t="shared" si="3"/>
        <v>13762</v>
      </c>
      <c r="G41" s="61">
        <f t="shared" si="3"/>
        <v>19747</v>
      </c>
      <c r="H41" s="61">
        <f t="shared" si="3"/>
        <v>22860</v>
      </c>
      <c r="I41" s="61">
        <f t="shared" si="3"/>
        <v>23229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49" t="s">
        <v>67</v>
      </c>
      <c r="B43" s="50" t="s">
        <v>75</v>
      </c>
      <c r="C43" s="50"/>
      <c r="D43" s="50"/>
      <c r="E43" s="50"/>
      <c r="F43" s="50"/>
      <c r="G43" s="50"/>
      <c r="H43" s="50"/>
      <c r="I43" s="50"/>
      <c r="J43" s="5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73"/>
      <c r="C44" s="74"/>
      <c r="D44" s="75"/>
      <c r="E44" s="54">
        <v>20.0</v>
      </c>
      <c r="F44" s="55">
        <v>21.0</v>
      </c>
      <c r="G44" s="55">
        <v>22.0</v>
      </c>
      <c r="H44" s="55">
        <v>23.0</v>
      </c>
      <c r="I44" s="55">
        <v>24.0</v>
      </c>
      <c r="J44" s="55">
        <v>25.0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5"/>
      <c r="B45" s="62" t="s">
        <v>76</v>
      </c>
      <c r="C45" s="67"/>
      <c r="D45" s="58"/>
      <c r="E45" s="65">
        <v>373.43</v>
      </c>
      <c r="F45" s="64">
        <v>1151.29</v>
      </c>
      <c r="G45" s="65">
        <v>-1575.19</v>
      </c>
      <c r="H45" s="64">
        <v>-4404.81</v>
      </c>
      <c r="I45" s="65">
        <v>-1252.67</v>
      </c>
      <c r="J45" s="64">
        <v>3502.92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5"/>
      <c r="B46" s="52" t="s">
        <v>68</v>
      </c>
      <c r="C46" s="5"/>
      <c r="D46" s="53"/>
      <c r="E46" s="65">
        <f t="shared" ref="E46:J46" si="4">-D34</f>
        <v>-951</v>
      </c>
      <c r="F46" s="64">
        <f t="shared" si="4"/>
        <v>-934.82</v>
      </c>
      <c r="G46" s="65">
        <f t="shared" si="4"/>
        <v>-1532.86</v>
      </c>
      <c r="H46" s="64">
        <f t="shared" si="4"/>
        <v>-774.86</v>
      </c>
      <c r="I46" s="65">
        <f t="shared" si="4"/>
        <v>-1362.12</v>
      </c>
      <c r="J46" s="76">
        <f t="shared" si="4"/>
        <v>-253.56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56"/>
      <c r="B47" s="62" t="s">
        <v>65</v>
      </c>
      <c r="C47" s="67"/>
      <c r="D47" s="58"/>
      <c r="E47" s="65">
        <f t="shared" ref="E47:J47" si="5">D41</f>
        <v>7894</v>
      </c>
      <c r="F47" s="64">
        <f t="shared" si="5"/>
        <v>7692</v>
      </c>
      <c r="G47" s="65">
        <f t="shared" si="5"/>
        <v>13762</v>
      </c>
      <c r="H47" s="64">
        <f t="shared" si="5"/>
        <v>19747</v>
      </c>
      <c r="I47" s="65">
        <f t="shared" si="5"/>
        <v>22860</v>
      </c>
      <c r="J47" s="76">
        <f t="shared" si="5"/>
        <v>23229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6"/>
      <c r="B48" s="59"/>
      <c r="C48" s="72"/>
      <c r="D48" s="54"/>
      <c r="E48" s="77">
        <f t="shared" ref="E48:J48" si="6">SUM(E45:E47)</f>
        <v>7316.43</v>
      </c>
      <c r="F48" s="78">
        <f t="shared" si="6"/>
        <v>7908.47</v>
      </c>
      <c r="G48" s="77">
        <f t="shared" si="6"/>
        <v>10653.95</v>
      </c>
      <c r="H48" s="78">
        <f t="shared" si="6"/>
        <v>14567.33</v>
      </c>
      <c r="I48" s="77">
        <f t="shared" si="6"/>
        <v>20245.21</v>
      </c>
      <c r="J48" s="78">
        <f t="shared" si="6"/>
        <v>26478.36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5"/>
      <c r="B52" s="5"/>
      <c r="C52" s="5"/>
      <c r="D52" s="5"/>
      <c r="E52" s="5"/>
      <c r="F52" s="5"/>
      <c r="G52" s="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56"/>
      <c r="B53" s="5"/>
      <c r="C53" s="5"/>
      <c r="D53" s="5"/>
      <c r="E53" s="79"/>
      <c r="F53" s="79"/>
      <c r="G53" s="79"/>
      <c r="H53" s="8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6"/>
      <c r="B54" s="5"/>
      <c r="C54" s="5"/>
      <c r="D54" s="5"/>
      <c r="E54" s="5"/>
      <c r="F54" s="5"/>
      <c r="G54" s="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6"/>
      <c r="B55" s="5"/>
      <c r="C55" s="5"/>
      <c r="D55" s="5"/>
      <c r="E55" s="5"/>
      <c r="F55" s="5"/>
      <c r="G55" s="5"/>
      <c r="H55" s="8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"/>
      <c r="B56" s="5"/>
      <c r="C56" s="5"/>
      <c r="D56" s="81"/>
      <c r="E56" s="81"/>
      <c r="F56" s="81"/>
      <c r="G56" s="81"/>
      <c r="H56" s="8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"/>
      <c r="B59" s="5"/>
      <c r="C59" s="5"/>
      <c r="D59" s="5"/>
      <c r="E59" s="5"/>
      <c r="F59" s="5"/>
      <c r="G59" s="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5"/>
      <c r="B60" s="5"/>
      <c r="C60" s="5"/>
      <c r="D60" s="5"/>
      <c r="E60" s="5"/>
      <c r="F60" s="5"/>
      <c r="G60" s="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6"/>
      <c r="B61" s="5"/>
      <c r="C61" s="5"/>
      <c r="D61" s="5"/>
      <c r="E61" s="5"/>
      <c r="F61" s="5"/>
      <c r="G61" s="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56"/>
      <c r="B62" s="5"/>
      <c r="C62" s="5"/>
      <c r="D62" s="79"/>
      <c r="E62" s="79"/>
      <c r="F62" s="79"/>
      <c r="G62" s="79"/>
      <c r="H62" s="8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5"/>
      <c r="B63" s="5"/>
      <c r="C63" s="5"/>
      <c r="D63" s="81"/>
      <c r="E63" s="81"/>
      <c r="F63" s="81"/>
      <c r="G63" s="81"/>
      <c r="H63" s="8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5"/>
      <c r="B67" s="5"/>
      <c r="C67" s="5"/>
      <c r="D67" s="5"/>
      <c r="E67" s="79"/>
      <c r="F67" s="79"/>
      <c r="G67" s="79"/>
      <c r="H67" s="79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56"/>
      <c r="B68" s="5"/>
      <c r="C68" s="5"/>
      <c r="D68" s="5"/>
      <c r="E68" s="79"/>
      <c r="F68" s="79"/>
      <c r="G68" s="79"/>
      <c r="H68" s="79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6"/>
      <c r="B69" s="5"/>
      <c r="C69" s="5"/>
      <c r="D69" s="5"/>
      <c r="E69" s="79"/>
      <c r="F69" s="79"/>
      <c r="G69" s="79"/>
      <c r="H69" s="79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"/>
      <c r="B70" s="5"/>
      <c r="C70" s="5"/>
      <c r="D70" s="5"/>
      <c r="E70" s="81"/>
      <c r="F70" s="81"/>
      <c r="G70" s="81"/>
      <c r="H70" s="81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9.14"/>
    <col customWidth="1" min="4" max="4" width="10.0"/>
    <col customWidth="1" min="5" max="12" width="9.14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4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2" t="s">
        <v>79</v>
      </c>
      <c r="C7" s="83" t="s">
        <v>80</v>
      </c>
      <c r="D7" s="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84"/>
      <c r="C8" s="84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79</v>
      </c>
      <c r="C9" s="5" t="s">
        <v>81</v>
      </c>
      <c r="D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82</v>
      </c>
      <c r="C10" s="5" t="s">
        <v>83</v>
      </c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84</v>
      </c>
      <c r="C11" s="5" t="s">
        <v>85</v>
      </c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86</v>
      </c>
      <c r="C12" s="5" t="s">
        <v>87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88</v>
      </c>
      <c r="C13" s="5" t="s">
        <v>89</v>
      </c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90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91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">
        <v>92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85"/>
      <c r="B19" s="86" t="s">
        <v>93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7" t="s">
        <v>94</v>
      </c>
      <c r="C21" s="88" t="s">
        <v>95</v>
      </c>
      <c r="D21" s="88"/>
      <c r="E21" s="88"/>
      <c r="F21" s="88"/>
      <c r="G21" s="88"/>
      <c r="H21" s="88"/>
      <c r="I21" s="88"/>
      <c r="J21" s="88"/>
      <c r="K21" s="88"/>
      <c r="L21" s="7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9"/>
      <c r="C22" s="1" t="s">
        <v>96</v>
      </c>
      <c r="D22" s="1"/>
      <c r="E22" s="1"/>
      <c r="F22" s="1"/>
      <c r="G22" s="1"/>
      <c r="H22" s="1"/>
      <c r="I22" s="1"/>
      <c r="J22" s="1"/>
      <c r="K22" s="1"/>
      <c r="L22" s="9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5"/>
      <c r="C23" s="36" t="s">
        <v>97</v>
      </c>
      <c r="D23" s="91">
        <f>13.05%-7%</f>
        <v>0.0605</v>
      </c>
      <c r="E23" s="36"/>
      <c r="F23" s="36"/>
      <c r="G23" s="36"/>
      <c r="H23" s="36"/>
      <c r="I23" s="36"/>
      <c r="J23" s="36"/>
      <c r="K23" s="36"/>
      <c r="L23" s="9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87" t="s">
        <v>98</v>
      </c>
      <c r="C25" s="88" t="s">
        <v>99</v>
      </c>
      <c r="D25" s="88"/>
      <c r="E25" s="88"/>
      <c r="F25" s="88"/>
      <c r="G25" s="88"/>
      <c r="H25" s="88"/>
      <c r="I25" s="88"/>
      <c r="J25" s="88"/>
      <c r="K25" s="88"/>
      <c r="L25" s="7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5"/>
      <c r="C26" s="36" t="s">
        <v>100</v>
      </c>
      <c r="D26" s="36">
        <f>6.05%*1.21</f>
        <v>0.073205</v>
      </c>
      <c r="E26" s="36"/>
      <c r="F26" s="36"/>
      <c r="G26" s="36"/>
      <c r="H26" s="36"/>
      <c r="I26" s="36"/>
      <c r="J26" s="36"/>
      <c r="K26" s="36"/>
      <c r="L26" s="9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87" t="s">
        <v>101</v>
      </c>
      <c r="C28" s="88" t="s">
        <v>102</v>
      </c>
      <c r="D28" s="88"/>
      <c r="E28" s="88"/>
      <c r="F28" s="88"/>
      <c r="G28" s="88"/>
      <c r="H28" s="88"/>
      <c r="I28" s="88"/>
      <c r="J28" s="88"/>
      <c r="K28" s="88"/>
      <c r="L28" s="7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5"/>
      <c r="C29" s="36" t="s">
        <v>103</v>
      </c>
      <c r="D29" s="93">
        <f>0.07+0.073205</f>
        <v>0.143205</v>
      </c>
      <c r="E29" s="93" t="s">
        <v>104</v>
      </c>
      <c r="F29" s="36"/>
      <c r="G29" s="36"/>
      <c r="H29" s="36"/>
      <c r="I29" s="36"/>
      <c r="J29" s="36"/>
      <c r="K29" s="36"/>
      <c r="L29" s="9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85"/>
      <c r="B31" s="86" t="s">
        <v>105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4" t="s">
        <v>79</v>
      </c>
      <c r="C33" s="95" t="s">
        <v>80</v>
      </c>
      <c r="D33" s="7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2"/>
      <c r="C34" s="56" t="s">
        <v>106</v>
      </c>
      <c r="D34" s="9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9"/>
      <c r="C35" s="97">
        <f>0.07+(1.21*(0.0605))</f>
        <v>0.143205</v>
      </c>
      <c r="D35" s="98" t="s">
        <v>107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5"/>
      <c r="C36" s="5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2024-05-15T15:27:20Z</dcterms:created>
  <dc:creator>dell</dc:creator>
</cp:coreProperties>
</file>