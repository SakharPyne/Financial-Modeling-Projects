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Finance study material\"/>
    </mc:Choice>
  </mc:AlternateContent>
  <xr:revisionPtr revIDLastSave="0" documentId="8_{5F8C709A-9F48-4074-992E-EC561F233B5B}" xr6:coauthVersionLast="47" xr6:coauthVersionMax="47" xr10:uidLastSave="{00000000-0000-0000-0000-000000000000}"/>
  <bookViews>
    <workbookView xWindow="-108" yWindow="-108" windowWidth="23256" windowHeight="12456" xr2:uid="{1FC020CD-CCC4-4A15-BE96-8FBA72431201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6" i="1" l="1"/>
  <c r="E106" i="1"/>
  <c r="F106" i="1"/>
  <c r="G106" i="1"/>
  <c r="H106" i="1"/>
  <c r="I106" i="1"/>
  <c r="J106" i="1"/>
  <c r="K106" i="1"/>
  <c r="L106" i="1"/>
  <c r="C106" i="1"/>
  <c r="D105" i="1"/>
  <c r="E105" i="1"/>
  <c r="F105" i="1"/>
  <c r="G105" i="1"/>
  <c r="H105" i="1"/>
  <c r="I105" i="1"/>
  <c r="J105" i="1"/>
  <c r="K105" i="1"/>
  <c r="L105" i="1"/>
  <c r="D107" i="1"/>
  <c r="E107" i="1"/>
  <c r="F107" i="1"/>
  <c r="G107" i="1"/>
  <c r="H107" i="1"/>
  <c r="I107" i="1"/>
  <c r="J107" i="1"/>
  <c r="K107" i="1"/>
  <c r="L107" i="1"/>
  <c r="C107" i="1"/>
  <c r="C105" i="1"/>
  <c r="D103" i="1"/>
  <c r="E103" i="1"/>
  <c r="F103" i="1"/>
  <c r="G103" i="1"/>
  <c r="H103" i="1"/>
  <c r="I103" i="1"/>
  <c r="J103" i="1"/>
  <c r="K103" i="1"/>
  <c r="L103" i="1"/>
  <c r="C103" i="1"/>
  <c r="D102" i="1"/>
  <c r="E102" i="1"/>
  <c r="F102" i="1"/>
  <c r="G102" i="1"/>
  <c r="H102" i="1"/>
  <c r="I102" i="1"/>
  <c r="J102" i="1"/>
  <c r="K102" i="1"/>
  <c r="L102" i="1"/>
  <c r="C102" i="1"/>
  <c r="I39" i="1"/>
  <c r="J39" i="1"/>
  <c r="K39" i="1"/>
  <c r="L39" i="1"/>
  <c r="H39" i="1"/>
  <c r="I32" i="1"/>
  <c r="J32" i="1"/>
  <c r="K32" i="1"/>
  <c r="L32" i="1"/>
  <c r="H32" i="1"/>
  <c r="D3" i="1"/>
  <c r="E3" i="1"/>
  <c r="F3" i="1"/>
  <c r="G3" i="1"/>
  <c r="C3" i="1"/>
  <c r="D4" i="1"/>
  <c r="D54" i="1"/>
  <c r="E54" i="1"/>
  <c r="F54" i="1"/>
  <c r="G54" i="1"/>
  <c r="C54" i="1"/>
  <c r="I50" i="1"/>
  <c r="J50" i="1"/>
  <c r="K50" i="1" s="1"/>
  <c r="L50" i="1" s="1"/>
  <c r="H50" i="1"/>
  <c r="H74" i="1"/>
  <c r="G74" i="1"/>
  <c r="G73" i="1"/>
  <c r="I69" i="1"/>
  <c r="J69" i="1"/>
  <c r="K69" i="1"/>
  <c r="L69" i="1"/>
  <c r="I70" i="1"/>
  <c r="J70" i="1"/>
  <c r="J71" i="1" s="1"/>
  <c r="K70" i="1"/>
  <c r="K71" i="1" s="1"/>
  <c r="L70" i="1"/>
  <c r="L71" i="1" s="1"/>
  <c r="I71" i="1"/>
  <c r="H71" i="1"/>
  <c r="H70" i="1"/>
  <c r="H69" i="1"/>
  <c r="I61" i="1"/>
  <c r="J61" i="1"/>
  <c r="K61" i="1"/>
  <c r="L61" i="1"/>
  <c r="H61" i="1"/>
  <c r="H66" i="1"/>
  <c r="I66" i="1"/>
  <c r="J66" i="1"/>
  <c r="K66" i="1"/>
  <c r="L66" i="1"/>
  <c r="I65" i="1"/>
  <c r="J65" i="1"/>
  <c r="K65" i="1"/>
  <c r="L65" i="1"/>
  <c r="H65" i="1"/>
  <c r="I60" i="1"/>
  <c r="J60" i="1"/>
  <c r="K60" i="1"/>
  <c r="L60" i="1"/>
  <c r="H60" i="1"/>
  <c r="I47" i="1"/>
  <c r="J47" i="1"/>
  <c r="K47" i="1"/>
  <c r="L47" i="1"/>
  <c r="H47" i="1"/>
  <c r="I42" i="1"/>
  <c r="J42" i="1"/>
  <c r="K42" i="1"/>
  <c r="L42" i="1"/>
  <c r="H42" i="1"/>
  <c r="I28" i="1"/>
  <c r="J28" i="1"/>
  <c r="K28" i="1"/>
  <c r="L28" i="1"/>
  <c r="H28" i="1"/>
  <c r="I27" i="1"/>
  <c r="J27" i="1"/>
  <c r="K27" i="1"/>
  <c r="L27" i="1"/>
  <c r="H27" i="1"/>
  <c r="D95" i="1"/>
  <c r="E95" i="1"/>
  <c r="F95" i="1"/>
  <c r="G95" i="1"/>
  <c r="H95" i="1"/>
  <c r="I95" i="1"/>
  <c r="J95" i="1"/>
  <c r="K95" i="1"/>
  <c r="L95" i="1"/>
  <c r="C95" i="1"/>
  <c r="C15" i="1"/>
  <c r="D97" i="1"/>
  <c r="E97" i="1"/>
  <c r="F97" i="1"/>
  <c r="G97" i="1"/>
  <c r="C97" i="1"/>
  <c r="K91" i="1"/>
  <c r="L88" i="1" s="1"/>
  <c r="J91" i="1"/>
  <c r="K88" i="1" s="1"/>
  <c r="K90" i="1" s="1"/>
  <c r="J88" i="1"/>
  <c r="J90" i="1" s="1"/>
  <c r="J89" i="1"/>
  <c r="K89" i="1"/>
  <c r="L89" i="1"/>
  <c r="I91" i="1"/>
  <c r="I88" i="1"/>
  <c r="H91" i="1"/>
  <c r="I90" i="1"/>
  <c r="H90" i="1"/>
  <c r="I89" i="1"/>
  <c r="H89" i="1"/>
  <c r="H88" i="1"/>
  <c r="D89" i="1"/>
  <c r="E89" i="1"/>
  <c r="F89" i="1"/>
  <c r="G89" i="1"/>
  <c r="D90" i="1"/>
  <c r="E90" i="1"/>
  <c r="F90" i="1"/>
  <c r="G90" i="1"/>
  <c r="C90" i="1"/>
  <c r="C89" i="1"/>
  <c r="L85" i="1"/>
  <c r="H85" i="1"/>
  <c r="I85" i="1"/>
  <c r="J85" i="1"/>
  <c r="K85" i="1"/>
  <c r="H84" i="1"/>
  <c r="I84" i="1"/>
  <c r="J84" i="1"/>
  <c r="K84" i="1"/>
  <c r="L84" i="1"/>
  <c r="I83" i="1"/>
  <c r="J83" i="1"/>
  <c r="K83" i="1"/>
  <c r="L83" i="1"/>
  <c r="H83" i="1"/>
  <c r="I82" i="1"/>
  <c r="J82" i="1"/>
  <c r="K82" i="1"/>
  <c r="L82" i="1"/>
  <c r="H82" i="1"/>
  <c r="I81" i="1"/>
  <c r="J81" i="1"/>
  <c r="K81" i="1"/>
  <c r="L81" i="1"/>
  <c r="H81" i="1"/>
  <c r="H48" i="1"/>
  <c r="I48" i="1"/>
  <c r="J48" i="1"/>
  <c r="K48" i="1"/>
  <c r="L48" i="1"/>
  <c r="I46" i="1"/>
  <c r="J46" i="1"/>
  <c r="K46" i="1"/>
  <c r="L46" i="1"/>
  <c r="H46" i="1"/>
  <c r="H40" i="1"/>
  <c r="D85" i="1"/>
  <c r="E85" i="1"/>
  <c r="F85" i="1"/>
  <c r="G85" i="1"/>
  <c r="C85" i="1"/>
  <c r="D83" i="1"/>
  <c r="E83" i="1"/>
  <c r="F83" i="1"/>
  <c r="G83" i="1"/>
  <c r="C83" i="1"/>
  <c r="D82" i="1"/>
  <c r="E82" i="1"/>
  <c r="F82" i="1"/>
  <c r="G82" i="1"/>
  <c r="C82" i="1"/>
  <c r="D81" i="1"/>
  <c r="E81" i="1"/>
  <c r="F81" i="1"/>
  <c r="G81" i="1"/>
  <c r="C81" i="1"/>
  <c r="C96" i="1"/>
  <c r="D94" i="1" s="1"/>
  <c r="H21" i="1"/>
  <c r="D16" i="1"/>
  <c r="E16" i="1"/>
  <c r="F16" i="1"/>
  <c r="G16" i="1"/>
  <c r="C16" i="1"/>
  <c r="D15" i="1"/>
  <c r="E15" i="1"/>
  <c r="F15" i="1"/>
  <c r="G15" i="1"/>
  <c r="D14" i="1"/>
  <c r="E14" i="1"/>
  <c r="F14" i="1"/>
  <c r="G14" i="1"/>
  <c r="C14" i="1"/>
  <c r="D13" i="1"/>
  <c r="E13" i="1"/>
  <c r="F13" i="1"/>
  <c r="G13" i="1"/>
  <c r="C13" i="1"/>
  <c r="C12" i="1"/>
  <c r="D12" i="1"/>
  <c r="E12" i="1"/>
  <c r="F12" i="1"/>
  <c r="G12" i="1"/>
  <c r="D11" i="1"/>
  <c r="E11" i="1"/>
  <c r="F11" i="1"/>
  <c r="G11" i="1"/>
  <c r="C11" i="1"/>
  <c r="D8" i="1"/>
  <c r="E8" i="1"/>
  <c r="F8" i="1"/>
  <c r="G8" i="1"/>
  <c r="C8" i="1"/>
  <c r="D9" i="1"/>
  <c r="E9" i="1"/>
  <c r="F9" i="1"/>
  <c r="G9" i="1"/>
  <c r="C9" i="1"/>
  <c r="C7" i="1"/>
  <c r="D6" i="1"/>
  <c r="E6" i="1"/>
  <c r="F6" i="1"/>
  <c r="G6" i="1"/>
  <c r="C6" i="1"/>
  <c r="E4" i="1"/>
  <c r="F4" i="1"/>
  <c r="G4" i="1"/>
  <c r="D5" i="1"/>
  <c r="E5" i="1"/>
  <c r="F5" i="1"/>
  <c r="G5" i="1"/>
  <c r="C5" i="1"/>
  <c r="D7" i="1"/>
  <c r="E7" i="1"/>
  <c r="F7" i="1"/>
  <c r="G7" i="1"/>
  <c r="G71" i="1"/>
  <c r="F71" i="1"/>
  <c r="E71" i="1"/>
  <c r="D71" i="1"/>
  <c r="C71" i="1"/>
  <c r="G66" i="1"/>
  <c r="F66" i="1"/>
  <c r="E66" i="1"/>
  <c r="D66" i="1"/>
  <c r="C66" i="1"/>
  <c r="G62" i="1"/>
  <c r="F62" i="1"/>
  <c r="E62" i="1"/>
  <c r="D62" i="1"/>
  <c r="C62" i="1"/>
  <c r="G52" i="1"/>
  <c r="F52" i="1"/>
  <c r="E52" i="1"/>
  <c r="D52" i="1"/>
  <c r="C52" i="1"/>
  <c r="G48" i="1"/>
  <c r="F48" i="1"/>
  <c r="E48" i="1"/>
  <c r="D48" i="1"/>
  <c r="C48" i="1"/>
  <c r="C53" i="1" s="1"/>
  <c r="G43" i="1"/>
  <c r="F43" i="1"/>
  <c r="E43" i="1"/>
  <c r="D43" i="1"/>
  <c r="C43" i="1"/>
  <c r="G29" i="1"/>
  <c r="F29" i="1"/>
  <c r="E29" i="1"/>
  <c r="D29" i="1"/>
  <c r="C29" i="1"/>
  <c r="G23" i="1"/>
  <c r="F23" i="1"/>
  <c r="E23" i="1"/>
  <c r="D23" i="1"/>
  <c r="C23" i="1"/>
  <c r="D2" i="1"/>
  <c r="E2" i="1" s="1"/>
  <c r="F2" i="1" s="1"/>
  <c r="G2" i="1" s="1"/>
  <c r="H2" i="1" s="1"/>
  <c r="I2" i="1" s="1"/>
  <c r="J2" i="1" s="1"/>
  <c r="K2" i="1" s="1"/>
  <c r="L2" i="1" s="1"/>
  <c r="L90" i="1" l="1"/>
  <c r="L91" i="1"/>
  <c r="C84" i="1"/>
  <c r="C30" i="1"/>
  <c r="C33" i="1" s="1"/>
  <c r="C91" i="1"/>
  <c r="F30" i="1"/>
  <c r="F33" i="1" s="1"/>
  <c r="E84" i="1"/>
  <c r="F84" i="1"/>
  <c r="G84" i="1"/>
  <c r="D96" i="1"/>
  <c r="E94" i="1" s="1"/>
  <c r="E96" i="1" s="1"/>
  <c r="F94" i="1" s="1"/>
  <c r="F96" i="1" s="1"/>
  <c r="G94" i="1" s="1"/>
  <c r="G96" i="1" s="1"/>
  <c r="H94" i="1" s="1"/>
  <c r="H25" i="1"/>
  <c r="E30" i="1"/>
  <c r="E53" i="1"/>
  <c r="I21" i="1"/>
  <c r="D73" i="1"/>
  <c r="H22" i="1"/>
  <c r="G30" i="1"/>
  <c r="G53" i="1"/>
  <c r="E73" i="1"/>
  <c r="F73" i="1"/>
  <c r="D84" i="1"/>
  <c r="C73" i="1"/>
  <c r="C75" i="1" s="1"/>
  <c r="D74" i="1" s="1"/>
  <c r="F53" i="1"/>
  <c r="D53" i="1"/>
  <c r="D30" i="1"/>
  <c r="H96" i="1" l="1"/>
  <c r="I94" i="1" s="1"/>
  <c r="D88" i="1"/>
  <c r="D91" i="1" s="1"/>
  <c r="E88" i="1" s="1"/>
  <c r="E91" i="1" s="1"/>
  <c r="F88" i="1" s="1"/>
  <c r="F91" i="1" s="1"/>
  <c r="G88" i="1" s="1"/>
  <c r="G91" i="1" s="1"/>
  <c r="C10" i="1"/>
  <c r="F10" i="1"/>
  <c r="D33" i="1"/>
  <c r="D10" i="1"/>
  <c r="E33" i="1"/>
  <c r="E10" i="1"/>
  <c r="D75" i="1"/>
  <c r="E74" i="1" s="1"/>
  <c r="E75" i="1" s="1"/>
  <c r="F74" i="1" s="1"/>
  <c r="F75" i="1" s="1"/>
  <c r="G75" i="1" s="1"/>
  <c r="H29" i="1"/>
  <c r="G33" i="1"/>
  <c r="G10" i="1"/>
  <c r="J21" i="1"/>
  <c r="I22" i="1"/>
  <c r="I41" i="1" s="1"/>
  <c r="I25" i="1"/>
  <c r="I40" i="1"/>
  <c r="I43" i="1" s="1"/>
  <c r="H23" i="1"/>
  <c r="H41" i="1"/>
  <c r="H43" i="1" s="1"/>
  <c r="I23" i="1"/>
  <c r="H30" i="1" l="1"/>
  <c r="H33" i="1" s="1"/>
  <c r="H97" i="1"/>
  <c r="I96" i="1"/>
  <c r="J94" i="1" s="1"/>
  <c r="J96" i="1" s="1"/>
  <c r="K94" i="1" s="1"/>
  <c r="K96" i="1" s="1"/>
  <c r="L94" i="1" s="1"/>
  <c r="I97" i="1"/>
  <c r="I29" i="1"/>
  <c r="I30" i="1" s="1"/>
  <c r="I33" i="1" s="1"/>
  <c r="I59" i="1" s="1"/>
  <c r="I62" i="1" s="1"/>
  <c r="I73" i="1" s="1"/>
  <c r="K21" i="1"/>
  <c r="J22" i="1"/>
  <c r="J41" i="1" s="1"/>
  <c r="J25" i="1"/>
  <c r="J29" i="1" s="1"/>
  <c r="J40" i="1"/>
  <c r="J43" i="1" s="1"/>
  <c r="J23" i="1"/>
  <c r="H59" i="1" l="1"/>
  <c r="H62" i="1" s="1"/>
  <c r="H73" i="1" s="1"/>
  <c r="H75" i="1" s="1"/>
  <c r="I74" i="1" s="1"/>
  <c r="I75" i="1" s="1"/>
  <c r="J74" i="1" s="1"/>
  <c r="J75" i="1" s="1"/>
  <c r="K74" i="1" s="1"/>
  <c r="H51" i="1"/>
  <c r="J97" i="1"/>
  <c r="L96" i="1"/>
  <c r="L97" i="1" s="1"/>
  <c r="K97" i="1"/>
  <c r="J30" i="1"/>
  <c r="J33" i="1" s="1"/>
  <c r="J59" i="1" s="1"/>
  <c r="J62" i="1" s="1"/>
  <c r="J73" i="1" s="1"/>
  <c r="L21" i="1"/>
  <c r="K40" i="1"/>
  <c r="K22" i="1"/>
  <c r="K41" i="1" s="1"/>
  <c r="K25" i="1"/>
  <c r="K29" i="1" s="1"/>
  <c r="K23" i="1"/>
  <c r="H52" i="1" l="1"/>
  <c r="H53" i="1" s="1"/>
  <c r="H54" i="1" s="1"/>
  <c r="H3" i="1" s="1"/>
  <c r="I51" i="1"/>
  <c r="K30" i="1"/>
  <c r="K33" i="1" s="1"/>
  <c r="K59" i="1" s="1"/>
  <c r="K62" i="1" s="1"/>
  <c r="K73" i="1" s="1"/>
  <c r="K75" i="1" s="1"/>
  <c r="L74" i="1" s="1"/>
  <c r="K43" i="1"/>
  <c r="L40" i="1"/>
  <c r="L22" i="1"/>
  <c r="L25" i="1"/>
  <c r="L29" i="1" s="1"/>
  <c r="L75" i="1" l="1"/>
  <c r="J51" i="1"/>
  <c r="I52" i="1"/>
  <c r="I53" i="1" s="1"/>
  <c r="I54" i="1" s="1"/>
  <c r="I3" i="1" s="1"/>
  <c r="L41" i="1"/>
  <c r="L43" i="1" s="1"/>
  <c r="L23" i="1"/>
  <c r="L30" i="1" s="1"/>
  <c r="L33" i="1" s="1"/>
  <c r="L59" i="1" s="1"/>
  <c r="L62" i="1" s="1"/>
  <c r="L73" i="1" s="1"/>
  <c r="K51" i="1" l="1"/>
  <c r="J52" i="1"/>
  <c r="J53" i="1" s="1"/>
  <c r="J54" i="1" s="1"/>
  <c r="J3" i="1" s="1"/>
  <c r="L51" i="1" l="1"/>
  <c r="L52" i="1" s="1"/>
  <c r="L53" i="1" s="1"/>
  <c r="L54" i="1" s="1"/>
  <c r="L3" i="1" s="1"/>
  <c r="K52" i="1"/>
  <c r="K53" i="1" s="1"/>
  <c r="K54" i="1" s="1"/>
  <c r="K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8" authorId="0" shapeId="0" xr:uid="{C071AABE-EEF4-4394-916C-4B6F34952544}">
      <text>
        <r>
          <rPr>
            <sz val="11"/>
            <color theme="1"/>
            <rFont val="Aptos Narrow"/>
            <family val="2"/>
            <scheme val="minor"/>
          </rPr>
          <t xml:space="preserve">
% of opening PP&amp;E</t>
        </r>
      </text>
    </comment>
    <comment ref="H9" authorId="0" shapeId="0" xr:uid="{774A70F6-7FDA-40FE-A8FB-1DC749396B73}">
      <text>
        <r>
          <rPr>
            <sz val="11"/>
            <color theme="1"/>
            <rFont val="Aptos Narrow"/>
            <family val="2"/>
            <scheme val="minor"/>
          </rPr>
          <t xml:space="preserve">
Average balance</t>
        </r>
      </text>
    </comment>
    <comment ref="A94" authorId="0" shapeId="0" xr:uid="{34CA3202-4A02-41F9-86C7-AE6AAA9538E6}">
      <text>
        <r>
          <rPr>
            <sz val="11"/>
            <color theme="1"/>
            <rFont val="Aptos Narrow"/>
            <family val="2"/>
            <scheme val="minor"/>
          </rPr>
          <t>======
ID#AAAAqQiQ8JM
CFI    (2023-02-13 21:11:43)
We are using term debt/bond in this example so there's no compounding interest. To learn more about revolver and compound interest, take our LBO modeling course.</t>
        </r>
      </text>
    </comment>
  </commentList>
</comments>
</file>

<file path=xl/sharedStrings.xml><?xml version="1.0" encoding="utf-8"?>
<sst xmlns="http://schemas.openxmlformats.org/spreadsheetml/2006/main" count="86" uniqueCount="77">
  <si>
    <t>Historical Results</t>
  </si>
  <si>
    <t xml:space="preserve"> Forecast Period</t>
  </si>
  <si>
    <t>Key Assumptions</t>
  </si>
  <si>
    <t>Revenue Growth (% Change)</t>
  </si>
  <si>
    <t>Cost of Goods Sold (% of Revenue)</t>
  </si>
  <si>
    <t>Salaries and Benefits (% of Revenue)</t>
  </si>
  <si>
    <t>Rent and Overhead ($000's)</t>
  </si>
  <si>
    <t>Depreciation &amp; Amortization (% of PP&amp;E)</t>
  </si>
  <si>
    <t>Interest (% of Debt)</t>
  </si>
  <si>
    <t>Tax Rate (% of Earnings Before Tax)</t>
  </si>
  <si>
    <t>Accounts Receivable (Days)</t>
  </si>
  <si>
    <t>Inventory (Days)</t>
  </si>
  <si>
    <t>Accounts Payable (Days)</t>
  </si>
  <si>
    <t>Capital Expenditures ($000's)</t>
  </si>
  <si>
    <t>Debt Issuance (Repayment) ($000's)</t>
  </si>
  <si>
    <t>Equity Issued (Repaid) ($000's)</t>
  </si>
  <si>
    <t>Days in Period</t>
  </si>
  <si>
    <t>Income Statement</t>
  </si>
  <si>
    <t>Revenue</t>
  </si>
  <si>
    <t>Cost of Goods Sold (COGS)</t>
  </si>
  <si>
    <t>Gross Profit</t>
  </si>
  <si>
    <t>Expenses</t>
  </si>
  <si>
    <t>Salaries and Benefits</t>
  </si>
  <si>
    <t>Rent and Overhead</t>
  </si>
  <si>
    <t>Depreciation &amp; Amortization</t>
  </si>
  <si>
    <t>Interest</t>
  </si>
  <si>
    <t>Total Expenses</t>
  </si>
  <si>
    <t>Earnings Before Tax</t>
  </si>
  <si>
    <t>Taxes</t>
  </si>
  <si>
    <t>Net Earnings</t>
  </si>
  <si>
    <t>Balance Sheet</t>
  </si>
  <si>
    <t>Assets</t>
  </si>
  <si>
    <t>Cash</t>
  </si>
  <si>
    <t>Accounts Receivable</t>
  </si>
  <si>
    <t>Inventory</t>
  </si>
  <si>
    <t>Property &amp; Equipment</t>
  </si>
  <si>
    <t>Total Assets</t>
  </si>
  <si>
    <t>Liabilities</t>
  </si>
  <si>
    <t>Accounts Payable</t>
  </si>
  <si>
    <t>Debt</t>
  </si>
  <si>
    <t>Total Liabilities</t>
  </si>
  <si>
    <t>Shareholder's Equity</t>
  </si>
  <si>
    <t>Equity Capital</t>
  </si>
  <si>
    <t>Retained Earnings</t>
  </si>
  <si>
    <t>Total Liabilities &amp; Shareholder's Equity</t>
  </si>
  <si>
    <t>Cash Flow Statement</t>
  </si>
  <si>
    <t>Operating Cash Flow</t>
  </si>
  <si>
    <t>Plus: Depreciation &amp; Amortization</t>
  </si>
  <si>
    <t>Less: Changes in Working Capital</t>
  </si>
  <si>
    <t>Cash from Operations</t>
  </si>
  <si>
    <t>Investing Cash Flow</t>
  </si>
  <si>
    <t>Investments in Property &amp; Equipment</t>
  </si>
  <si>
    <t>Cash from Investing</t>
  </si>
  <si>
    <t>Financing Cash Flow</t>
  </si>
  <si>
    <t>Issuance (repayment) of debt</t>
  </si>
  <si>
    <t>Issuance (repayment) of equity</t>
  </si>
  <si>
    <t>Cash from Financing</t>
  </si>
  <si>
    <t>Net Increase (decrease) in Cash</t>
  </si>
  <si>
    <t>Opening Cash Balance</t>
  </si>
  <si>
    <t>Closing Cash Balance</t>
  </si>
  <si>
    <t>Supporting Schedules</t>
  </si>
  <si>
    <t>Working Capital Schedule</t>
  </si>
  <si>
    <t>Net Working Capital (NWC)</t>
  </si>
  <si>
    <t>Change in NWC</t>
  </si>
  <si>
    <t>Depreciation Schedule</t>
  </si>
  <si>
    <t>PPE Opening</t>
  </si>
  <si>
    <t>Plus Capex</t>
  </si>
  <si>
    <t>Less Depreciation</t>
  </si>
  <si>
    <t>PPE Closing</t>
  </si>
  <si>
    <t>Debt &amp; Interest Schedule</t>
  </si>
  <si>
    <t>Debt Opening</t>
  </si>
  <si>
    <t>Issuance (repayment)</t>
  </si>
  <si>
    <t>Debt Closing</t>
  </si>
  <si>
    <t>Interest Expense</t>
  </si>
  <si>
    <t>Check</t>
  </si>
  <si>
    <t>Charts and Graphs</t>
  </si>
  <si>
    <t>Gross Profit Margin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</si>
</sst>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-* #,##0_-;\(#,##0\)_-;_-* &quot;-&quot;_-;_-@"/>
    <numFmt numFmtId="165" formatCode="0.0%"/>
    <numFmt numFmtId="166" formatCode="_ * #,##0.0_ ;_ * \-#,##0.0_ ;_ * &quot;-&quot;?_ ;_ @_ "/>
    <numFmt numFmtId="167" formatCode="0.0000_ ;\-0.0000\ 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Arial Narrow"/>
      <family val="2"/>
    </font>
    <font>
      <sz val="11"/>
      <name val="Calibri"/>
      <family val="2"/>
    </font>
    <font>
      <b/>
      <sz val="12"/>
      <color theme="0"/>
      <name val="Arial Narrow"/>
      <family val="2"/>
    </font>
    <font>
      <b/>
      <sz val="14"/>
      <name val="Arial Narrow"/>
      <family val="2"/>
    </font>
    <font>
      <b/>
      <sz val="14"/>
      <color theme="0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i/>
      <sz val="12"/>
      <color theme="1"/>
      <name val="Arial Narrow"/>
      <family val="2"/>
    </font>
    <font>
      <sz val="12"/>
      <color rgb="FF0000FF"/>
      <name val="Arial Narrow"/>
      <family val="2"/>
    </font>
    <font>
      <b/>
      <sz val="14"/>
      <color rgb="FF3271D2"/>
      <name val="Open Sans"/>
      <family val="2"/>
    </font>
    <font>
      <b/>
      <sz val="12"/>
      <color rgb="FF0000FF"/>
      <name val="Arial Narrow"/>
      <family val="2"/>
    </font>
    <font>
      <i/>
      <sz val="10"/>
      <color theme="1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E7F2FF"/>
        <bgColor rgb="FF1E8496"/>
      </patternFill>
    </fill>
    <fill>
      <patternFill patternType="solid">
        <fgColor rgb="FFE7F2FF"/>
        <bgColor indexed="64"/>
      </patternFill>
    </fill>
    <fill>
      <patternFill patternType="solid">
        <fgColor rgb="FF000C3F"/>
        <bgColor rgb="FF132E57"/>
      </patternFill>
    </fill>
    <fill>
      <patternFill patternType="solid">
        <fgColor rgb="FF000C3F"/>
        <bgColor indexed="64"/>
      </patternFill>
    </fill>
    <fill>
      <patternFill patternType="solid">
        <fgColor rgb="FFE7F2FF"/>
        <bgColor rgb="FF000000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64" fontId="2" fillId="2" borderId="0" xfId="0" applyNumberFormat="1" applyFont="1" applyFill="1" applyAlignment="1">
      <alignment horizontal="center"/>
    </xf>
    <xf numFmtId="0" fontId="3" fillId="3" borderId="0" xfId="0" applyFont="1" applyFill="1"/>
    <xf numFmtId="164" fontId="4" fillId="4" borderId="0" xfId="0" applyNumberFormat="1" applyFont="1" applyFill="1" applyAlignment="1">
      <alignment horizontal="center"/>
    </xf>
    <xf numFmtId="0" fontId="3" fillId="5" borderId="0" xfId="0" applyFont="1" applyFill="1"/>
    <xf numFmtId="0" fontId="5" fillId="2" borderId="0" xfId="0" applyFont="1" applyFill="1"/>
    <xf numFmtId="0" fontId="6" fillId="4" borderId="0" xfId="0" applyFont="1" applyFill="1"/>
    <xf numFmtId="164" fontId="7" fillId="0" borderId="0" xfId="0" applyNumberFormat="1" applyFont="1"/>
    <xf numFmtId="164" fontId="8" fillId="0" borderId="0" xfId="0" applyNumberFormat="1" applyFont="1"/>
    <xf numFmtId="164" fontId="8" fillId="0" borderId="0" xfId="0" applyNumberFormat="1" applyFont="1" applyAlignment="1">
      <alignment horizontal="center"/>
    </xf>
    <xf numFmtId="164" fontId="8" fillId="0" borderId="1" xfId="0" applyNumberFormat="1" applyFont="1" applyBorder="1"/>
    <xf numFmtId="164" fontId="7" fillId="0" borderId="1" xfId="0" applyNumberFormat="1" applyFont="1" applyBorder="1"/>
    <xf numFmtId="164" fontId="9" fillId="0" borderId="0" xfId="0" applyNumberFormat="1" applyFont="1"/>
    <xf numFmtId="0" fontId="11" fillId="6" borderId="0" xfId="0" applyFont="1" applyFill="1" applyAlignment="1">
      <alignment vertical="center"/>
    </xf>
    <xf numFmtId="164" fontId="12" fillId="0" borderId="0" xfId="0" applyNumberFormat="1" applyFont="1"/>
    <xf numFmtId="164" fontId="10" fillId="0" borderId="0" xfId="0" applyNumberFormat="1" applyFont="1"/>
    <xf numFmtId="9" fontId="12" fillId="0" borderId="0" xfId="0" applyNumberFormat="1" applyFont="1"/>
    <xf numFmtId="164" fontId="8" fillId="0" borderId="2" xfId="0" applyNumberFormat="1" applyFont="1" applyBorder="1"/>
    <xf numFmtId="164" fontId="10" fillId="0" borderId="2" xfId="0" applyNumberFormat="1" applyFont="1" applyBorder="1"/>
    <xf numFmtId="164" fontId="7" fillId="0" borderId="3" xfId="0" applyNumberFormat="1" applyFont="1" applyBorder="1"/>
    <xf numFmtId="164" fontId="0" fillId="0" borderId="0" xfId="0" applyNumberFormat="1"/>
    <xf numFmtId="164" fontId="7" fillId="0" borderId="4" xfId="0" applyNumberFormat="1" applyFont="1" applyBorder="1"/>
    <xf numFmtId="165" fontId="8" fillId="0" borderId="1" xfId="0" applyNumberFormat="1" applyFont="1" applyBorder="1"/>
    <xf numFmtId="165" fontId="10" fillId="0" borderId="1" xfId="0" applyNumberFormat="1" applyFont="1" applyBorder="1"/>
    <xf numFmtId="165" fontId="8" fillId="0" borderId="0" xfId="0" applyNumberFormat="1" applyFont="1"/>
    <xf numFmtId="165" fontId="10" fillId="0" borderId="0" xfId="0" applyNumberFormat="1" applyFont="1"/>
    <xf numFmtId="166" fontId="0" fillId="0" borderId="0" xfId="0" applyNumberFormat="1"/>
    <xf numFmtId="43" fontId="0" fillId="0" borderId="0" xfId="0" applyNumberFormat="1"/>
    <xf numFmtId="167" fontId="9" fillId="0" borderId="0" xfId="0" applyNumberFormat="1" applyFont="1"/>
    <xf numFmtId="164" fontId="13" fillId="0" borderId="0" xfId="0" applyNumberFormat="1" applyFont="1" applyAlignment="1">
      <alignment horizontal="right"/>
    </xf>
    <xf numFmtId="10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CA" sz="1400" b="1" i="0" u="none" strike="noStrike" kern="1200" baseline="0">
                <a:solidFill>
                  <a:srgbClr val="757575"/>
                </a:solidFill>
              </a:rPr>
              <a:t>Revenue &amp; Gross Profit Margin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Sheet1!$A$102</c:f>
              <c:strCache>
                <c:ptCount val="1"/>
                <c:pt idx="0">
                  <c:v>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Sheet1!$C$102:$M$102</c:f>
              <c:numCache>
                <c:formatCode>_-* #,##0_-;\(#,##0\)_-;_-* "-"_-;_-@</c:formatCode>
                <c:ptCount val="11"/>
                <c:pt idx="0">
                  <c:v>102007</c:v>
                </c:pt>
                <c:pt idx="1">
                  <c:v>118086</c:v>
                </c:pt>
                <c:pt idx="2">
                  <c:v>131345</c:v>
                </c:pt>
                <c:pt idx="3">
                  <c:v>142341</c:v>
                </c:pt>
                <c:pt idx="4">
                  <c:v>150772</c:v>
                </c:pt>
                <c:pt idx="5">
                  <c:v>165849.20000000001</c:v>
                </c:pt>
                <c:pt idx="6">
                  <c:v>182434.12000000002</c:v>
                </c:pt>
                <c:pt idx="7">
                  <c:v>200677.53200000004</c:v>
                </c:pt>
                <c:pt idx="8">
                  <c:v>220745.28520000007</c:v>
                </c:pt>
                <c:pt idx="9">
                  <c:v>242819.81372000009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86-4F41-8F92-FBC25771F7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6800464"/>
        <c:axId val="766801904"/>
      </c:barChart>
      <c:lineChart>
        <c:grouping val="standard"/>
        <c:varyColors val="0"/>
        <c:ser>
          <c:idx val="1"/>
          <c:order val="1"/>
          <c:tx>
            <c:strRef>
              <c:f>Sheet1!$A$103</c:f>
              <c:strCache>
                <c:ptCount val="1"/>
                <c:pt idx="0">
                  <c:v> Gross Profit Margin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Sheet1!$C$103:$M$103</c:f>
              <c:numCache>
                <c:formatCode>0.00%</c:formatCode>
                <c:ptCount val="11"/>
                <c:pt idx="0">
                  <c:v>0.61744782220827987</c:v>
                </c:pt>
                <c:pt idx="1">
                  <c:v>0.59348271598665381</c:v>
                </c:pt>
                <c:pt idx="2">
                  <c:v>0.62600022840610603</c:v>
                </c:pt>
                <c:pt idx="3">
                  <c:v>0.63008549890755294</c:v>
                </c:pt>
                <c:pt idx="4">
                  <c:v>0.62386915342371263</c:v>
                </c:pt>
                <c:pt idx="5">
                  <c:v>0.57999999999999996</c:v>
                </c:pt>
                <c:pt idx="6">
                  <c:v>0.53</c:v>
                </c:pt>
                <c:pt idx="7">
                  <c:v>0.5</c:v>
                </c:pt>
                <c:pt idx="8">
                  <c:v>0.64</c:v>
                </c:pt>
                <c:pt idx="9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86-4F41-8F92-FBC25771F7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6812944"/>
        <c:axId val="766807664"/>
      </c:lineChart>
      <c:catAx>
        <c:axId val="7668004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801904"/>
        <c:crosses val="autoZero"/>
        <c:auto val="1"/>
        <c:lblAlgn val="ctr"/>
        <c:lblOffset val="100"/>
        <c:noMultiLvlLbl val="0"/>
      </c:catAx>
      <c:valAx>
        <c:axId val="766801904"/>
        <c:scaling>
          <c:orientation val="minMax"/>
        </c:scaling>
        <c:delete val="0"/>
        <c:axPos val="l"/>
        <c:numFmt formatCode="_-* #,##0_-;\(#,##0\)_-;_-* &quot;-&quot;_-;_-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800464"/>
        <c:crosses val="autoZero"/>
        <c:crossBetween val="between"/>
      </c:valAx>
      <c:valAx>
        <c:axId val="76680766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812944"/>
        <c:crosses val="max"/>
        <c:crossBetween val="between"/>
      </c:valAx>
      <c:catAx>
        <c:axId val="766812944"/>
        <c:scaling>
          <c:orientation val="minMax"/>
        </c:scaling>
        <c:delete val="1"/>
        <c:axPos val="b"/>
        <c:majorTickMark val="out"/>
        <c:minorTickMark val="none"/>
        <c:tickLblPos val="nextTo"/>
        <c:crossAx val="76680766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Cash Flow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 w="19050" cap="flat" cmpd="sng" algn="ctr">
          <a:solidFill>
            <a:schemeClr val="tx1">
              <a:lumMod val="25000"/>
              <a:lumOff val="75000"/>
            </a:schemeClr>
          </a:solidFill>
          <a:round/>
        </a:ln>
        <a:effectLst/>
        <a:sp3d contourW="19050">
          <a:contourClr>
            <a:schemeClr val="tx1">
              <a:lumMod val="25000"/>
              <a:lumOff val="7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Sheet1!$A$105</c:f>
              <c:strCache>
                <c:ptCount val="1"/>
                <c:pt idx="0">
                  <c:v> Operating Cash Flow</c:v>
                </c:pt>
              </c:strCache>
            </c:strRef>
          </c:tx>
          <c:spPr>
            <a:pattFill prst="ltDn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  <a:effectLst/>
            <a:sp3d>
              <a:contourClr>
                <a:schemeClr val="accent1"/>
              </a:contourClr>
            </a:sp3d>
          </c:spPr>
          <c:invertIfNegative val="0"/>
          <c:val>
            <c:numRef>
              <c:f>Sheet1!$C$105:$L$105</c:f>
              <c:numCache>
                <c:formatCode>_-* #,##0_-;\(#,##0\)_-;_-* "-"_-;_-@</c:formatCode>
                <c:ptCount val="10"/>
                <c:pt idx="0">
                  <c:v>12971</c:v>
                </c:pt>
                <c:pt idx="1">
                  <c:v>28239</c:v>
                </c:pt>
                <c:pt idx="2">
                  <c:v>37505</c:v>
                </c:pt>
                <c:pt idx="3">
                  <c:v>42355</c:v>
                </c:pt>
                <c:pt idx="4">
                  <c:v>43479</c:v>
                </c:pt>
                <c:pt idx="5">
                  <c:v>36500.749642739727</c:v>
                </c:pt>
                <c:pt idx="6">
                  <c:v>33124.748762356161</c:v>
                </c:pt>
                <c:pt idx="7">
                  <c:v>33652.121499158908</c:v>
                </c:pt>
                <c:pt idx="8">
                  <c:v>69849.248091132773</c:v>
                </c:pt>
                <c:pt idx="9">
                  <c:v>74464.041295148636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E6-4469-A980-9D77DD13C451}"/>
            </c:ext>
          </c:extLst>
        </c:ser>
        <c:ser>
          <c:idx val="1"/>
          <c:order val="1"/>
          <c:tx>
            <c:strRef>
              <c:f>Sheet1!$A$106</c:f>
              <c:strCache>
                <c:ptCount val="1"/>
                <c:pt idx="0">
                  <c:v> Investing Cash Flow</c:v>
                </c:pt>
              </c:strCache>
            </c:strRef>
          </c:tx>
          <c:spPr>
            <a:pattFill prst="ltDnDiag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solidFill>
                <a:schemeClr val="accent2"/>
              </a:solidFill>
            </a:ln>
            <a:effectLst/>
            <a:sp3d>
              <a:contourClr>
                <a:schemeClr val="accent2"/>
              </a:contourClr>
            </a:sp3d>
          </c:spPr>
          <c:invertIfNegative val="0"/>
          <c:val>
            <c:numRef>
              <c:f>Sheet1!$C$106:$L$106</c:f>
              <c:numCache>
                <c:formatCode>_-* #,##0_-;\(#,##0\)_-;_-* "-"_-;_-@</c:formatCode>
                <c:ptCount val="10"/>
                <c:pt idx="0">
                  <c:v>-15000</c:v>
                </c:pt>
                <c:pt idx="1">
                  <c:v>-15000</c:v>
                </c:pt>
                <c:pt idx="2">
                  <c:v>-15000</c:v>
                </c:pt>
                <c:pt idx="3">
                  <c:v>-15000</c:v>
                </c:pt>
                <c:pt idx="4">
                  <c:v>-15000</c:v>
                </c:pt>
                <c:pt idx="5">
                  <c:v>-15000</c:v>
                </c:pt>
                <c:pt idx="6">
                  <c:v>-15000</c:v>
                </c:pt>
                <c:pt idx="7">
                  <c:v>-15000</c:v>
                </c:pt>
                <c:pt idx="8">
                  <c:v>-15000</c:v>
                </c:pt>
                <c:pt idx="9">
                  <c:v>-15000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E6-4469-A980-9D77DD13C451}"/>
            </c:ext>
          </c:extLst>
        </c:ser>
        <c:ser>
          <c:idx val="2"/>
          <c:order val="2"/>
          <c:tx>
            <c:strRef>
              <c:f>Sheet1!$A$107</c:f>
              <c:strCache>
                <c:ptCount val="1"/>
                <c:pt idx="0">
                  <c:v> Financing Cash Flow</c:v>
                </c:pt>
              </c:strCache>
            </c:strRef>
          </c:tx>
          <c:spPr>
            <a:pattFill prst="ltDnDiag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solidFill>
                <a:schemeClr val="accent3"/>
              </a:solidFill>
            </a:ln>
            <a:effectLst/>
            <a:sp3d>
              <a:contourClr>
                <a:schemeClr val="accent3"/>
              </a:contourClr>
            </a:sp3d>
          </c:spPr>
          <c:invertIfNegative val="0"/>
          <c:val>
            <c:numRef>
              <c:f>Sheet1!$C$107:$L$107</c:f>
              <c:numCache>
                <c:formatCode>_-* #,##0_-;\(#,##0\)_-;_-* "-"_-;_-@</c:formatCode>
                <c:ptCount val="10"/>
                <c:pt idx="0">
                  <c:v>70000</c:v>
                </c:pt>
                <c:pt idx="1">
                  <c:v>0</c:v>
                </c:pt>
                <c:pt idx="2">
                  <c:v>-20000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-20000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E6-4469-A980-9D77DD13C4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23496144"/>
        <c:axId val="823496624"/>
        <c:axId val="0"/>
      </c:bar3DChart>
      <c:catAx>
        <c:axId val="8234961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496624"/>
        <c:crosses val="autoZero"/>
        <c:auto val="1"/>
        <c:lblAlgn val="ctr"/>
        <c:lblOffset val="100"/>
        <c:noMultiLvlLbl val="0"/>
      </c:catAx>
      <c:valAx>
        <c:axId val="823496624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_-* #,##0_-;\(#,##0\)_-;_-* &quot;-&quot;_-;_-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496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108</xdr:row>
      <xdr:rowOff>34290</xdr:rowOff>
    </xdr:from>
    <xdr:to>
      <xdr:col>7</xdr:col>
      <xdr:colOff>289560</xdr:colOff>
      <xdr:row>123</xdr:row>
      <xdr:rowOff>34290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6EEE44-8395-95C6-2DE7-365E2EDC6A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510540</xdr:colOff>
      <xdr:row>108</xdr:row>
      <xdr:rowOff>11430</xdr:rowOff>
    </xdr:from>
    <xdr:to>
      <xdr:col>13</xdr:col>
      <xdr:colOff>586740</xdr:colOff>
      <xdr:row>123</xdr:row>
      <xdr:rowOff>11430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484AEE0-BF29-3743-859F-900A8EA088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8B2F6-21B0-464A-89F5-F6443D9F7CD9}">
  <dimension ref="A1:N107"/>
  <sheetViews>
    <sheetView tabSelected="1" topLeftCell="A102" workbookViewId="0">
      <selection activeCell="P119" sqref="P119"/>
    </sheetView>
  </sheetViews>
  <sheetFormatPr defaultRowHeight="14.4" x14ac:dyDescent="0.3"/>
  <cols>
    <col min="1" max="1" width="35.5546875" bestFit="1" customWidth="1"/>
    <col min="2" max="2" width="12.88671875" customWidth="1"/>
    <col min="3" max="3" width="12.77734375" bestFit="1" customWidth="1"/>
    <col min="4" max="7" width="9.21875" bestFit="1" customWidth="1"/>
    <col min="8" max="12" width="11.33203125" bestFit="1" customWidth="1"/>
  </cols>
  <sheetData>
    <row r="1" spans="1:12" ht="15.6" x14ac:dyDescent="0.3">
      <c r="C1" s="1" t="s">
        <v>0</v>
      </c>
      <c r="D1" s="2"/>
      <c r="E1" s="2"/>
      <c r="F1" s="2"/>
      <c r="G1" s="2"/>
      <c r="H1" s="3" t="s">
        <v>1</v>
      </c>
      <c r="I1" s="4"/>
      <c r="J1" s="4"/>
      <c r="K1" s="4"/>
      <c r="L1" s="4"/>
    </row>
    <row r="2" spans="1:12" ht="18" x14ac:dyDescent="0.35">
      <c r="C2" s="5">
        <v>2020</v>
      </c>
      <c r="D2" s="5">
        <f t="shared" ref="D2:L2" si="0">+C2+1</f>
        <v>2021</v>
      </c>
      <c r="E2" s="5">
        <f t="shared" si="0"/>
        <v>2022</v>
      </c>
      <c r="F2" s="5">
        <f t="shared" si="0"/>
        <v>2023</v>
      </c>
      <c r="G2" s="5">
        <f t="shared" si="0"/>
        <v>2024</v>
      </c>
      <c r="H2" s="6">
        <f t="shared" si="0"/>
        <v>2025</v>
      </c>
      <c r="I2" s="6">
        <f t="shared" si="0"/>
        <v>2026</v>
      </c>
      <c r="J2" s="6">
        <f t="shared" si="0"/>
        <v>2027</v>
      </c>
      <c r="K2" s="6">
        <f t="shared" si="0"/>
        <v>2028</v>
      </c>
      <c r="L2" s="6">
        <f t="shared" si="0"/>
        <v>2029</v>
      </c>
    </row>
    <row r="3" spans="1:12" ht="15.6" x14ac:dyDescent="0.3">
      <c r="A3" s="7" t="s">
        <v>2</v>
      </c>
      <c r="B3" s="7"/>
      <c r="C3" s="29" t="str">
        <f>IFERROR(IF(ABS(C54)&gt;1,"ERROR","OK"),"OK")</f>
        <v>OK</v>
      </c>
      <c r="D3" s="29" t="str">
        <f t="shared" ref="D3:L3" si="1">IFERROR(IF(ABS(D54)&gt;1,"ERROR","OK"),"OK")</f>
        <v>OK</v>
      </c>
      <c r="E3" s="29" t="str">
        <f t="shared" si="1"/>
        <v>OK</v>
      </c>
      <c r="F3" s="29" t="str">
        <f t="shared" si="1"/>
        <v>OK</v>
      </c>
      <c r="G3" s="29" t="str">
        <f t="shared" si="1"/>
        <v>OK</v>
      </c>
      <c r="H3" s="29" t="str">
        <f t="shared" si="1"/>
        <v>OK</v>
      </c>
      <c r="I3" s="29" t="str">
        <f t="shared" si="1"/>
        <v>OK</v>
      </c>
      <c r="J3" s="29" t="str">
        <f t="shared" si="1"/>
        <v>OK</v>
      </c>
      <c r="K3" s="29" t="str">
        <f t="shared" si="1"/>
        <v>OK</v>
      </c>
      <c r="L3" s="29" t="str">
        <f t="shared" si="1"/>
        <v>OK</v>
      </c>
    </row>
    <row r="4" spans="1:12" ht="15.6" x14ac:dyDescent="0.3">
      <c r="A4" s="10" t="s">
        <v>3</v>
      </c>
      <c r="B4" s="10"/>
      <c r="C4" s="22"/>
      <c r="D4" s="22">
        <f>D21/C21-1</f>
        <v>0.15762643740135474</v>
      </c>
      <c r="E4" s="22">
        <f t="shared" ref="E4:G4" si="2">E21/D21-1</f>
        <v>0.1122825737174602</v>
      </c>
      <c r="F4" s="22">
        <f t="shared" si="2"/>
        <v>8.3718451406600947E-2</v>
      </c>
      <c r="G4" s="22">
        <f t="shared" si="2"/>
        <v>5.9231001608812672E-2</v>
      </c>
      <c r="H4" s="23">
        <v>0.1</v>
      </c>
      <c r="I4" s="23">
        <v>0.1</v>
      </c>
      <c r="J4" s="23">
        <v>0.1</v>
      </c>
      <c r="K4" s="23">
        <v>0.1</v>
      </c>
      <c r="L4" s="23">
        <v>0.1</v>
      </c>
    </row>
    <row r="5" spans="1:12" ht="15.6" x14ac:dyDescent="0.3">
      <c r="A5" s="8" t="s">
        <v>4</v>
      </c>
      <c r="B5" s="8"/>
      <c r="C5" s="24">
        <f>C22/C21</f>
        <v>0.38255217779172018</v>
      </c>
      <c r="D5" s="24">
        <f t="shared" ref="D5:G5" si="3">D22/D21</f>
        <v>0.40651728401334619</v>
      </c>
      <c r="E5" s="24">
        <f t="shared" si="3"/>
        <v>0.37399977159389397</v>
      </c>
      <c r="F5" s="24">
        <f t="shared" si="3"/>
        <v>0.369914501092447</v>
      </c>
      <c r="G5" s="24">
        <f t="shared" si="3"/>
        <v>0.37613084657628737</v>
      </c>
      <c r="H5" s="25">
        <v>0.42</v>
      </c>
      <c r="I5" s="25">
        <v>0.47</v>
      </c>
      <c r="J5" s="25">
        <v>0.5</v>
      </c>
      <c r="K5" s="25">
        <v>0.36</v>
      </c>
      <c r="L5" s="25">
        <v>0.35</v>
      </c>
    </row>
    <row r="6" spans="1:12" ht="15.6" x14ac:dyDescent="0.3">
      <c r="A6" s="8" t="s">
        <v>5</v>
      </c>
      <c r="B6" s="8"/>
      <c r="C6" s="24">
        <f>C25/C21</f>
        <v>0.25907045594910155</v>
      </c>
      <c r="D6" s="24">
        <f t="shared" ref="D6:G6" si="4">D25/D21</f>
        <v>0.19187710651559034</v>
      </c>
      <c r="E6" s="24">
        <f t="shared" si="4"/>
        <v>0.18175035212608018</v>
      </c>
      <c r="F6" s="24">
        <f t="shared" si="4"/>
        <v>0.16159785304304453</v>
      </c>
      <c r="G6" s="24">
        <f t="shared" si="4"/>
        <v>0.16743825113416283</v>
      </c>
      <c r="H6" s="25">
        <v>0.17</v>
      </c>
      <c r="I6" s="25">
        <v>0.17</v>
      </c>
      <c r="J6" s="25">
        <v>0.17</v>
      </c>
      <c r="K6" s="25">
        <v>0.17</v>
      </c>
      <c r="L6" s="25">
        <v>0.17</v>
      </c>
    </row>
    <row r="7" spans="1:12" ht="15.6" x14ac:dyDescent="0.3">
      <c r="A7" s="8" t="s">
        <v>6</v>
      </c>
      <c r="B7" s="8"/>
      <c r="C7" s="8">
        <f>C26</f>
        <v>10963</v>
      </c>
      <c r="D7" s="8">
        <f t="shared" ref="D7:G7" si="5">D26</f>
        <v>10125</v>
      </c>
      <c r="E7" s="8">
        <f t="shared" si="5"/>
        <v>10087</v>
      </c>
      <c r="F7" s="8">
        <f t="shared" si="5"/>
        <v>11020</v>
      </c>
      <c r="G7" s="8">
        <f t="shared" si="5"/>
        <v>11412</v>
      </c>
      <c r="H7" s="15">
        <v>15000</v>
      </c>
      <c r="I7" s="15">
        <v>15000</v>
      </c>
      <c r="J7" s="15">
        <v>15000</v>
      </c>
      <c r="K7" s="15">
        <v>15000</v>
      </c>
      <c r="L7" s="15">
        <v>15000</v>
      </c>
    </row>
    <row r="8" spans="1:12" ht="15.6" x14ac:dyDescent="0.3">
      <c r="A8" s="8" t="s">
        <v>7</v>
      </c>
      <c r="B8" s="8"/>
      <c r="C8" s="24">
        <f>C27/C42</f>
        <v>0.42857142857142849</v>
      </c>
      <c r="D8" s="24">
        <f t="shared" ref="D8:G8" si="6">D27/D42</f>
        <v>0.42857142857142849</v>
      </c>
      <c r="E8" s="24">
        <f t="shared" si="6"/>
        <v>0.42857142857142849</v>
      </c>
      <c r="F8" s="24">
        <f t="shared" si="6"/>
        <v>0.42858993290329256</v>
      </c>
      <c r="G8" s="24">
        <f t="shared" si="6"/>
        <v>0.42856000639641795</v>
      </c>
      <c r="H8" s="25">
        <v>0.35</v>
      </c>
      <c r="I8" s="25">
        <v>0.35</v>
      </c>
      <c r="J8" s="25">
        <v>0.35</v>
      </c>
      <c r="K8" s="25">
        <v>0.35</v>
      </c>
      <c r="L8" s="25">
        <v>0.35</v>
      </c>
    </row>
    <row r="9" spans="1:12" ht="15.6" x14ac:dyDescent="0.3">
      <c r="A9" s="8" t="s">
        <v>8</v>
      </c>
      <c r="B9" s="8"/>
      <c r="C9" s="24">
        <f>C28/C47</f>
        <v>0.05</v>
      </c>
      <c r="D9" s="24">
        <f t="shared" ref="D9:G9" si="7">D28/D47</f>
        <v>0.05</v>
      </c>
      <c r="E9" s="24">
        <f t="shared" si="7"/>
        <v>0.05</v>
      </c>
      <c r="F9" s="24">
        <f t="shared" si="7"/>
        <v>0.05</v>
      </c>
      <c r="G9" s="24">
        <f t="shared" si="7"/>
        <v>0.05</v>
      </c>
      <c r="H9" s="25">
        <v>0.1</v>
      </c>
      <c r="I9" s="25">
        <v>0.1</v>
      </c>
      <c r="J9" s="25">
        <v>0.1</v>
      </c>
      <c r="K9" s="25">
        <v>0.1</v>
      </c>
      <c r="L9" s="25">
        <v>0.1</v>
      </c>
    </row>
    <row r="10" spans="1:12" ht="15.6" x14ac:dyDescent="0.3">
      <c r="A10" s="8" t="s">
        <v>9</v>
      </c>
      <c r="B10" s="8"/>
      <c r="C10" s="24">
        <f>C32/C30</f>
        <v>0.31163049526989428</v>
      </c>
      <c r="D10" s="24">
        <f t="shared" ref="D10:G10" si="8">D32/D30</f>
        <v>0.29178929665445374</v>
      </c>
      <c r="E10" s="24">
        <f t="shared" si="8"/>
        <v>0.28699506055890112</v>
      </c>
      <c r="F10" s="24">
        <f t="shared" si="8"/>
        <v>0.28994444592116103</v>
      </c>
      <c r="G10" s="24">
        <f t="shared" si="8"/>
        <v>0.2912241054613936</v>
      </c>
      <c r="H10" s="25">
        <v>0.28000000000000003</v>
      </c>
      <c r="I10" s="25">
        <v>0.28000000000000003</v>
      </c>
      <c r="J10" s="25">
        <v>0.28000000000000003</v>
      </c>
      <c r="K10" s="25">
        <v>0.28000000000000003</v>
      </c>
      <c r="L10" s="25">
        <v>0.28000000000000003</v>
      </c>
    </row>
    <row r="11" spans="1:12" ht="15.6" x14ac:dyDescent="0.3">
      <c r="A11" s="8" t="s">
        <v>10</v>
      </c>
      <c r="B11" s="8"/>
      <c r="C11" s="8">
        <f>C40/C21*365</f>
        <v>18.248747634966229</v>
      </c>
      <c r="D11" s="8">
        <f t="shared" ref="D11:G11" si="9">D40/D21*365</f>
        <v>18.249072709720032</v>
      </c>
      <c r="E11" s="8">
        <f t="shared" si="9"/>
        <v>18.249305264760743</v>
      </c>
      <c r="F11" s="8">
        <f t="shared" si="9"/>
        <v>18.249871786765585</v>
      </c>
      <c r="G11" s="8">
        <f t="shared" si="9"/>
        <v>18.248547475658611</v>
      </c>
      <c r="H11" s="15">
        <v>18</v>
      </c>
      <c r="I11" s="15">
        <v>18</v>
      </c>
      <c r="J11" s="15">
        <v>18</v>
      </c>
      <c r="K11" s="15">
        <v>18</v>
      </c>
      <c r="L11" s="15">
        <v>18</v>
      </c>
    </row>
    <row r="12" spans="1:12" ht="15.6" x14ac:dyDescent="0.3">
      <c r="A12" s="8" t="s">
        <v>11</v>
      </c>
      <c r="B12" s="8"/>
      <c r="C12" s="8">
        <f>C41/C22*365</f>
        <v>73.00374138328678</v>
      </c>
      <c r="D12" s="8">
        <f t="shared" ref="D12:G12" si="10">D41/D22*365</f>
        <v>73.001520706607778</v>
      </c>
      <c r="E12" s="8">
        <f t="shared" si="10"/>
        <v>73.002972131180911</v>
      </c>
      <c r="F12" s="8">
        <f t="shared" si="10"/>
        <v>73.001386409389596</v>
      </c>
      <c r="G12" s="8">
        <f t="shared" si="10"/>
        <v>73</v>
      </c>
      <c r="H12" s="15">
        <v>80</v>
      </c>
      <c r="I12" s="15">
        <v>90</v>
      </c>
      <c r="J12" s="15">
        <v>100</v>
      </c>
      <c r="K12" s="15">
        <v>100</v>
      </c>
      <c r="L12" s="15">
        <v>100</v>
      </c>
    </row>
    <row r="13" spans="1:12" ht="15.6" x14ac:dyDescent="0.3">
      <c r="A13" s="8" t="s">
        <v>12</v>
      </c>
      <c r="B13" s="8"/>
      <c r="C13" s="8">
        <f>C46/C22*365</f>
        <v>36.497193962534915</v>
      </c>
      <c r="D13" s="8">
        <f t="shared" ref="D13:G13" si="11">D46/D22*365</f>
        <v>36.496958586784437</v>
      </c>
      <c r="E13" s="8">
        <f t="shared" si="11"/>
        <v>36.497770901614317</v>
      </c>
      <c r="F13" s="8">
        <f t="shared" si="11"/>
        <v>36.504159228168795</v>
      </c>
      <c r="G13" s="8">
        <f t="shared" si="11"/>
        <v>36.493563745371191</v>
      </c>
      <c r="H13" s="15">
        <v>37</v>
      </c>
      <c r="I13" s="15">
        <v>37</v>
      </c>
      <c r="J13" s="15">
        <v>37</v>
      </c>
      <c r="K13" s="15">
        <v>37</v>
      </c>
      <c r="L13" s="15">
        <v>37</v>
      </c>
    </row>
    <row r="14" spans="1:12" ht="15.6" x14ac:dyDescent="0.3">
      <c r="A14" s="8" t="s">
        <v>13</v>
      </c>
      <c r="B14" s="8"/>
      <c r="C14" s="8">
        <f>C65</f>
        <v>15000</v>
      </c>
      <c r="D14" s="8">
        <f t="shared" ref="D14:G14" si="12">D65</f>
        <v>15000</v>
      </c>
      <c r="E14" s="8">
        <f t="shared" si="12"/>
        <v>15000</v>
      </c>
      <c r="F14" s="8">
        <f t="shared" si="12"/>
        <v>15000</v>
      </c>
      <c r="G14" s="8">
        <f t="shared" si="12"/>
        <v>15000</v>
      </c>
      <c r="H14" s="15">
        <v>15000</v>
      </c>
      <c r="I14" s="15">
        <v>15000</v>
      </c>
      <c r="J14" s="15">
        <v>15000</v>
      </c>
      <c r="K14" s="15">
        <v>15000</v>
      </c>
      <c r="L14" s="15">
        <v>15000</v>
      </c>
    </row>
    <row r="15" spans="1:12" ht="15.6" x14ac:dyDescent="0.3">
      <c r="A15" s="8" t="s">
        <v>14</v>
      </c>
      <c r="B15" s="8"/>
      <c r="C15" s="8">
        <f>C69</f>
        <v>0</v>
      </c>
      <c r="D15" s="8">
        <f t="shared" ref="D15:G15" si="13">D69</f>
        <v>0</v>
      </c>
      <c r="E15" s="8">
        <f t="shared" si="13"/>
        <v>-20000</v>
      </c>
      <c r="F15" s="8">
        <f t="shared" si="13"/>
        <v>0</v>
      </c>
      <c r="G15" s="8">
        <f t="shared" si="13"/>
        <v>0</v>
      </c>
      <c r="H15" s="15">
        <v>0</v>
      </c>
      <c r="I15" s="15">
        <v>0</v>
      </c>
      <c r="J15" s="15">
        <v>-20000</v>
      </c>
      <c r="K15" s="15">
        <v>0</v>
      </c>
      <c r="L15" s="15">
        <v>0</v>
      </c>
    </row>
    <row r="16" spans="1:12" ht="15.6" x14ac:dyDescent="0.3">
      <c r="A16" s="8" t="s">
        <v>15</v>
      </c>
      <c r="B16" s="8"/>
      <c r="C16" s="8">
        <f>C70</f>
        <v>70000</v>
      </c>
      <c r="D16" s="8">
        <f t="shared" ref="D16:G16" si="14">D70</f>
        <v>0</v>
      </c>
      <c r="E16" s="8">
        <f t="shared" si="14"/>
        <v>0</v>
      </c>
      <c r="F16" s="8">
        <f t="shared" si="14"/>
        <v>0</v>
      </c>
      <c r="G16" s="8">
        <f t="shared" si="14"/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</row>
    <row r="17" spans="1:14" ht="15.6" x14ac:dyDescent="0.3">
      <c r="A17" s="8" t="s">
        <v>16</v>
      </c>
      <c r="B17" s="8"/>
      <c r="C17" s="15">
        <v>365</v>
      </c>
      <c r="D17" s="15">
        <v>365</v>
      </c>
      <c r="E17" s="15">
        <v>365</v>
      </c>
      <c r="F17" s="15">
        <v>365</v>
      </c>
      <c r="G17" s="15">
        <v>365</v>
      </c>
      <c r="H17" s="15">
        <v>365</v>
      </c>
      <c r="I17" s="15">
        <v>365</v>
      </c>
      <c r="J17" s="15">
        <v>365</v>
      </c>
      <c r="K17" s="15">
        <v>365</v>
      </c>
      <c r="L17" s="15">
        <v>365</v>
      </c>
    </row>
    <row r="19" spans="1:14" ht="21" x14ac:dyDescent="0.3">
      <c r="A19" s="13" t="s">
        <v>17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1" spans="1:14" ht="15.6" x14ac:dyDescent="0.3">
      <c r="A21" s="7" t="s">
        <v>18</v>
      </c>
      <c r="B21" s="7"/>
      <c r="C21" s="14">
        <v>102007</v>
      </c>
      <c r="D21" s="14">
        <v>118086</v>
      </c>
      <c r="E21" s="14">
        <v>131345</v>
      </c>
      <c r="F21" s="14">
        <v>142341</v>
      </c>
      <c r="G21" s="14">
        <v>150772</v>
      </c>
      <c r="H21" s="27">
        <f>G21*(1+H4)</f>
        <v>165849.20000000001</v>
      </c>
      <c r="I21" s="27">
        <f t="shared" ref="I21:L21" si="15">H21*(1+I4)</f>
        <v>182434.12000000002</v>
      </c>
      <c r="J21" s="27">
        <f t="shared" si="15"/>
        <v>200677.53200000004</v>
      </c>
      <c r="K21" s="27">
        <f t="shared" si="15"/>
        <v>220745.28520000007</v>
      </c>
      <c r="L21" s="27">
        <f t="shared" si="15"/>
        <v>242819.81372000009</v>
      </c>
    </row>
    <row r="22" spans="1:14" ht="15.6" x14ac:dyDescent="0.3">
      <c r="A22" s="8" t="s">
        <v>19</v>
      </c>
      <c r="B22" s="8"/>
      <c r="C22" s="15">
        <v>39023</v>
      </c>
      <c r="D22" s="15">
        <v>48004</v>
      </c>
      <c r="E22" s="15">
        <v>49123</v>
      </c>
      <c r="F22" s="15">
        <v>52654</v>
      </c>
      <c r="G22" s="15">
        <v>56710</v>
      </c>
      <c r="H22" s="27">
        <f>H21*H5</f>
        <v>69656.664000000004</v>
      </c>
      <c r="I22" s="27">
        <f t="shared" ref="I22:L22" si="16">I21*I5</f>
        <v>85744.036400000012</v>
      </c>
      <c r="J22" s="27">
        <f t="shared" si="16"/>
        <v>100338.76600000002</v>
      </c>
      <c r="K22" s="27">
        <f t="shared" si="16"/>
        <v>79468.30267200002</v>
      </c>
      <c r="L22" s="27">
        <f t="shared" si="16"/>
        <v>84986.934802000033</v>
      </c>
    </row>
    <row r="23" spans="1:14" ht="15.6" x14ac:dyDescent="0.3">
      <c r="A23" s="11" t="s">
        <v>20</v>
      </c>
      <c r="B23" s="11"/>
      <c r="C23" s="11">
        <f t="shared" ref="C23:G23" si="17">C21-C22</f>
        <v>62984</v>
      </c>
      <c r="D23" s="11">
        <f t="shared" si="17"/>
        <v>70082</v>
      </c>
      <c r="E23" s="11">
        <f t="shared" si="17"/>
        <v>82222</v>
      </c>
      <c r="F23" s="11">
        <f t="shared" si="17"/>
        <v>89687</v>
      </c>
      <c r="G23" s="11">
        <f t="shared" si="17"/>
        <v>94062</v>
      </c>
      <c r="H23" s="27">
        <f>H21-H22</f>
        <v>96192.536000000007</v>
      </c>
      <c r="I23" s="27">
        <f t="shared" ref="I23:L23" si="18">I21-I22</f>
        <v>96690.083600000013</v>
      </c>
      <c r="J23" s="27">
        <f t="shared" si="18"/>
        <v>100338.76600000002</v>
      </c>
      <c r="K23" s="27">
        <f t="shared" si="18"/>
        <v>141276.98252800005</v>
      </c>
      <c r="L23" s="27">
        <f t="shared" si="18"/>
        <v>157832.87891800006</v>
      </c>
    </row>
    <row r="24" spans="1:14" ht="15.6" x14ac:dyDescent="0.3">
      <c r="A24" s="7" t="s">
        <v>21</v>
      </c>
      <c r="B24" s="7"/>
      <c r="C24" s="16"/>
      <c r="D24" s="16"/>
      <c r="E24" s="16"/>
      <c r="F24" s="16"/>
      <c r="G24" s="16"/>
    </row>
    <row r="25" spans="1:14" ht="15.6" x14ac:dyDescent="0.3">
      <c r="A25" s="8" t="s">
        <v>22</v>
      </c>
      <c r="B25" s="8"/>
      <c r="C25" s="15">
        <v>26427</v>
      </c>
      <c r="D25" s="15">
        <v>22658</v>
      </c>
      <c r="E25" s="15">
        <v>23872</v>
      </c>
      <c r="F25" s="15">
        <v>23002</v>
      </c>
      <c r="G25" s="15">
        <v>25245</v>
      </c>
      <c r="H25" s="27">
        <f>H21*H6</f>
        <v>28194.364000000005</v>
      </c>
      <c r="I25" s="27">
        <f t="shared" ref="I25:L25" si="19">I21*I6</f>
        <v>31013.800400000007</v>
      </c>
      <c r="J25" s="27">
        <f t="shared" si="19"/>
        <v>34115.180440000011</v>
      </c>
      <c r="K25" s="27">
        <f t="shared" si="19"/>
        <v>37526.698484000015</v>
      </c>
      <c r="L25" s="27">
        <f t="shared" si="19"/>
        <v>41279.368332400016</v>
      </c>
    </row>
    <row r="26" spans="1:14" ht="15.6" x14ac:dyDescent="0.3">
      <c r="A26" s="8" t="s">
        <v>23</v>
      </c>
      <c r="B26" s="8"/>
      <c r="C26" s="15">
        <v>10963</v>
      </c>
      <c r="D26" s="15">
        <v>10125</v>
      </c>
      <c r="E26" s="15">
        <v>10087</v>
      </c>
      <c r="F26" s="15">
        <v>11020</v>
      </c>
      <c r="G26" s="15">
        <v>11412</v>
      </c>
      <c r="H26" s="15">
        <v>15000</v>
      </c>
      <c r="I26" s="15">
        <v>15000</v>
      </c>
      <c r="J26" s="15">
        <v>15000</v>
      </c>
      <c r="K26" s="15">
        <v>15000</v>
      </c>
      <c r="L26" s="15">
        <v>15000</v>
      </c>
    </row>
    <row r="27" spans="1:14" ht="15.6" x14ac:dyDescent="0.3">
      <c r="A27" s="8" t="s">
        <v>24</v>
      </c>
      <c r="B27" s="8"/>
      <c r="C27" s="15">
        <v>19500</v>
      </c>
      <c r="D27" s="15">
        <v>18150</v>
      </c>
      <c r="E27" s="15">
        <v>17205</v>
      </c>
      <c r="F27" s="15">
        <v>16544</v>
      </c>
      <c r="G27" s="15">
        <v>16080</v>
      </c>
      <c r="H27" s="27">
        <f>H90</f>
        <v>13132.349999999999</v>
      </c>
      <c r="I27" s="27">
        <f t="shared" ref="I27:L27" si="20">I90</f>
        <v>13786.0275</v>
      </c>
      <c r="J27" s="27">
        <f t="shared" si="20"/>
        <v>14210.917874999999</v>
      </c>
      <c r="K27" s="27">
        <f t="shared" si="20"/>
        <v>14487.096618749998</v>
      </c>
      <c r="L27" s="27">
        <f t="shared" si="20"/>
        <v>14666.612802187497</v>
      </c>
    </row>
    <row r="28" spans="1:14" ht="15.6" x14ac:dyDescent="0.3">
      <c r="A28" s="17" t="s">
        <v>25</v>
      </c>
      <c r="B28" s="17"/>
      <c r="C28" s="18">
        <v>2500</v>
      </c>
      <c r="D28" s="18">
        <v>2500</v>
      </c>
      <c r="E28" s="18">
        <v>1500</v>
      </c>
      <c r="F28" s="18">
        <v>1500</v>
      </c>
      <c r="G28" s="18">
        <v>1500</v>
      </c>
      <c r="H28" s="26">
        <f>H97</f>
        <v>3000.0000000000009</v>
      </c>
      <c r="I28" s="26">
        <f t="shared" ref="I28:L28" si="21">I97</f>
        <v>3000.0000000000009</v>
      </c>
      <c r="J28" s="26">
        <f t="shared" si="21"/>
        <v>2000.0000000000009</v>
      </c>
      <c r="K28" s="26">
        <f t="shared" si="21"/>
        <v>1000.0000000000008</v>
      </c>
      <c r="L28" s="26">
        <f t="shared" si="21"/>
        <v>1000.0000000000008</v>
      </c>
    </row>
    <row r="29" spans="1:14" ht="15.6" x14ac:dyDescent="0.3">
      <c r="A29" s="7" t="s">
        <v>26</v>
      </c>
      <c r="B29" s="7"/>
      <c r="C29" s="7">
        <f t="shared" ref="C29:L29" si="22">SUM(C25:C28)</f>
        <v>59390</v>
      </c>
      <c r="D29" s="7">
        <f t="shared" si="22"/>
        <v>53433</v>
      </c>
      <c r="E29" s="7">
        <f t="shared" si="22"/>
        <v>52664</v>
      </c>
      <c r="F29" s="7">
        <f t="shared" si="22"/>
        <v>52066</v>
      </c>
      <c r="G29" s="7">
        <f t="shared" si="22"/>
        <v>54237</v>
      </c>
      <c r="H29" s="7">
        <f t="shared" si="22"/>
        <v>59326.714</v>
      </c>
      <c r="I29" s="7">
        <f t="shared" si="22"/>
        <v>62799.827900000004</v>
      </c>
      <c r="J29" s="7">
        <f t="shared" si="22"/>
        <v>65326.09831500001</v>
      </c>
      <c r="K29" s="7">
        <f t="shared" si="22"/>
        <v>68013.795102750009</v>
      </c>
      <c r="L29" s="7">
        <f t="shared" si="22"/>
        <v>71945.981134587521</v>
      </c>
    </row>
    <row r="30" spans="1:14" ht="15.6" x14ac:dyDescent="0.3">
      <c r="A30" s="11" t="s">
        <v>27</v>
      </c>
      <c r="B30" s="11"/>
      <c r="C30" s="11">
        <f t="shared" ref="C30:L30" si="23">C23-C29</f>
        <v>3594</v>
      </c>
      <c r="D30" s="11">
        <f t="shared" si="23"/>
        <v>16649</v>
      </c>
      <c r="E30" s="11">
        <f t="shared" si="23"/>
        <v>29558</v>
      </c>
      <c r="F30" s="11">
        <f t="shared" si="23"/>
        <v>37621</v>
      </c>
      <c r="G30" s="11">
        <f t="shared" si="23"/>
        <v>39825</v>
      </c>
      <c r="H30" s="11">
        <f t="shared" si="23"/>
        <v>36865.822000000007</v>
      </c>
      <c r="I30" s="11">
        <f t="shared" si="23"/>
        <v>33890.255700000009</v>
      </c>
      <c r="J30" s="11">
        <f t="shared" si="23"/>
        <v>35012.667685000008</v>
      </c>
      <c r="K30" s="11">
        <f t="shared" si="23"/>
        <v>73263.187425250042</v>
      </c>
      <c r="L30" s="11">
        <f t="shared" si="23"/>
        <v>85886.89778341254</v>
      </c>
    </row>
    <row r="31" spans="1:14" ht="15.6" x14ac:dyDescent="0.3">
      <c r="A31" s="7"/>
      <c r="B31" s="7"/>
      <c r="C31" s="14"/>
      <c r="D31" s="14"/>
      <c r="E31" s="14"/>
      <c r="F31" s="14"/>
      <c r="G31" s="14"/>
    </row>
    <row r="32" spans="1:14" ht="15.6" x14ac:dyDescent="0.3">
      <c r="A32" s="8" t="s">
        <v>28</v>
      </c>
      <c r="B32" s="8"/>
      <c r="C32" s="15">
        <v>1120</v>
      </c>
      <c r="D32" s="15">
        <v>4858</v>
      </c>
      <c r="E32" s="15">
        <v>8483</v>
      </c>
      <c r="F32" s="15">
        <v>10908</v>
      </c>
      <c r="G32" s="15">
        <v>11598</v>
      </c>
      <c r="H32" s="27">
        <f>H30*H10</f>
        <v>10322.430160000004</v>
      </c>
      <c r="I32" s="27">
        <f t="shared" ref="I32:L32" si="24">I30*I10</f>
        <v>9489.2715960000041</v>
      </c>
      <c r="J32" s="27">
        <f t="shared" si="24"/>
        <v>9803.5469518000027</v>
      </c>
      <c r="K32" s="27">
        <f t="shared" si="24"/>
        <v>20513.692479070014</v>
      </c>
      <c r="L32" s="27">
        <f t="shared" si="24"/>
        <v>24048.331379355513</v>
      </c>
    </row>
    <row r="33" spans="1:14" ht="16.2" thickBot="1" x14ac:dyDescent="0.35">
      <c r="A33" s="19" t="s">
        <v>29</v>
      </c>
      <c r="B33" s="19"/>
      <c r="C33" s="19">
        <f t="shared" ref="C33:L33" si="25">C30-C32</f>
        <v>2474</v>
      </c>
      <c r="D33" s="19">
        <f t="shared" si="25"/>
        <v>11791</v>
      </c>
      <c r="E33" s="19">
        <f t="shared" si="25"/>
        <v>21075</v>
      </c>
      <c r="F33" s="19">
        <f t="shared" si="25"/>
        <v>26713</v>
      </c>
      <c r="G33" s="19">
        <f t="shared" si="25"/>
        <v>28227</v>
      </c>
      <c r="H33" s="19">
        <f t="shared" si="25"/>
        <v>26543.391840000004</v>
      </c>
      <c r="I33" s="19">
        <f t="shared" si="25"/>
        <v>24400.984104000003</v>
      </c>
      <c r="J33" s="19">
        <f t="shared" si="25"/>
        <v>25209.120733200005</v>
      </c>
      <c r="K33" s="19">
        <f t="shared" si="25"/>
        <v>52749.494946180028</v>
      </c>
      <c r="L33" s="19">
        <f t="shared" si="25"/>
        <v>61838.566404057026</v>
      </c>
    </row>
    <row r="34" spans="1:14" ht="15" thickTop="1" x14ac:dyDescent="0.3"/>
    <row r="36" spans="1:14" ht="21" x14ac:dyDescent="0.3">
      <c r="A36" s="13" t="s">
        <v>30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</row>
    <row r="38" spans="1:14" ht="15.6" x14ac:dyDescent="0.3">
      <c r="A38" s="7" t="s">
        <v>31</v>
      </c>
      <c r="B38" s="7"/>
      <c r="C38" s="8"/>
      <c r="D38" s="9"/>
      <c r="E38" s="15"/>
      <c r="F38" s="15"/>
      <c r="G38" s="15"/>
      <c r="H38" s="15"/>
      <c r="I38" s="15"/>
    </row>
    <row r="39" spans="1:14" ht="15.6" x14ac:dyDescent="0.3">
      <c r="A39" s="8" t="s">
        <v>32</v>
      </c>
      <c r="B39" s="8"/>
      <c r="C39" s="15">
        <v>67971</v>
      </c>
      <c r="D39" s="15">
        <v>81210</v>
      </c>
      <c r="E39" s="15">
        <v>83715</v>
      </c>
      <c r="F39" s="15">
        <v>111070</v>
      </c>
      <c r="G39" s="15">
        <v>139549</v>
      </c>
      <c r="H39" s="20">
        <f>H75</f>
        <v>161049.74964273971</v>
      </c>
      <c r="I39" s="20">
        <f t="shared" ref="I39:L39" si="26">I75</f>
        <v>179174.49840509589</v>
      </c>
      <c r="J39" s="20">
        <f t="shared" si="26"/>
        <v>177826.6199042548</v>
      </c>
      <c r="K39" s="20">
        <f t="shared" si="26"/>
        <v>232675.86799538758</v>
      </c>
      <c r="L39" s="20">
        <f t="shared" si="26"/>
        <v>292139.90929053619</v>
      </c>
    </row>
    <row r="40" spans="1:14" ht="15.6" x14ac:dyDescent="0.3">
      <c r="A40" s="8" t="s">
        <v>33</v>
      </c>
      <c r="B40" s="8"/>
      <c r="C40" s="15">
        <v>5100</v>
      </c>
      <c r="D40" s="15">
        <v>5904</v>
      </c>
      <c r="E40" s="15">
        <v>6567</v>
      </c>
      <c r="F40" s="15">
        <v>7117</v>
      </c>
      <c r="G40" s="15">
        <v>7538</v>
      </c>
      <c r="H40" s="27">
        <f>H21*H11/H17</f>
        <v>8178.8646575342473</v>
      </c>
      <c r="I40" s="27">
        <f t="shared" ref="I40:L40" si="27">I21*I11/I17</f>
        <v>8996.7511232876732</v>
      </c>
      <c r="J40" s="27">
        <f t="shared" si="27"/>
        <v>9896.42623561644</v>
      </c>
      <c r="K40" s="27">
        <f t="shared" si="27"/>
        <v>10886.068859178085</v>
      </c>
      <c r="L40" s="27">
        <f t="shared" si="27"/>
        <v>11974.675745095894</v>
      </c>
    </row>
    <row r="41" spans="1:14" ht="15.6" x14ac:dyDescent="0.3">
      <c r="A41" s="8" t="s">
        <v>34</v>
      </c>
      <c r="B41" s="8"/>
      <c r="C41" s="15">
        <v>7805</v>
      </c>
      <c r="D41" s="15">
        <v>9601</v>
      </c>
      <c r="E41" s="15">
        <v>9825</v>
      </c>
      <c r="F41" s="15">
        <v>10531</v>
      </c>
      <c r="G41" s="15">
        <v>11342</v>
      </c>
      <c r="H41" s="27">
        <f>H22*H12/H17</f>
        <v>15267.21402739726</v>
      </c>
      <c r="I41" s="27">
        <f t="shared" ref="I41:L41" si="28">I22*I12/I17</f>
        <v>21142.365139726033</v>
      </c>
      <c r="J41" s="27">
        <f t="shared" si="28"/>
        <v>27490.072876712333</v>
      </c>
      <c r="K41" s="27">
        <f t="shared" si="28"/>
        <v>21772.137718356171</v>
      </c>
      <c r="L41" s="27">
        <f t="shared" si="28"/>
        <v>23284.091726575352</v>
      </c>
    </row>
    <row r="42" spans="1:14" ht="15.6" x14ac:dyDescent="0.3">
      <c r="A42" s="8" t="s">
        <v>35</v>
      </c>
      <c r="B42" s="8"/>
      <c r="C42" s="15">
        <v>45500.000000000007</v>
      </c>
      <c r="D42" s="15">
        <v>42350.000000000007</v>
      </c>
      <c r="E42" s="15">
        <v>40145.000000000007</v>
      </c>
      <c r="F42" s="15">
        <v>38601.000000000007</v>
      </c>
      <c r="G42" s="15">
        <v>37521.000000000007</v>
      </c>
      <c r="H42" s="20">
        <f>H91</f>
        <v>39388.65</v>
      </c>
      <c r="I42" s="20">
        <f t="shared" ref="I42:L42" si="29">I91</f>
        <v>40602.622499999998</v>
      </c>
      <c r="J42" s="20">
        <f t="shared" si="29"/>
        <v>41391.704624999998</v>
      </c>
      <c r="K42" s="20">
        <f t="shared" si="29"/>
        <v>41904.608006249997</v>
      </c>
      <c r="L42" s="20">
        <f t="shared" si="29"/>
        <v>42237.995204062499</v>
      </c>
    </row>
    <row r="43" spans="1:14" ht="16.2" thickBot="1" x14ac:dyDescent="0.35">
      <c r="A43" s="19" t="s">
        <v>36</v>
      </c>
      <c r="B43" s="19"/>
      <c r="C43" s="19">
        <f t="shared" ref="C43:L43" si="30">SUM(C39:C42)</f>
        <v>126376</v>
      </c>
      <c r="D43" s="19">
        <f t="shared" si="30"/>
        <v>139065</v>
      </c>
      <c r="E43" s="19">
        <f t="shared" si="30"/>
        <v>140252</v>
      </c>
      <c r="F43" s="19">
        <f t="shared" si="30"/>
        <v>167319</v>
      </c>
      <c r="G43" s="19">
        <f t="shared" si="30"/>
        <v>195950</v>
      </c>
      <c r="H43" s="19">
        <f t="shared" si="30"/>
        <v>223884.47832767121</v>
      </c>
      <c r="I43" s="19">
        <f t="shared" si="30"/>
        <v>249916.2371681096</v>
      </c>
      <c r="J43" s="19">
        <f t="shared" si="30"/>
        <v>256604.82364158356</v>
      </c>
      <c r="K43" s="19">
        <f t="shared" si="30"/>
        <v>307238.68257917184</v>
      </c>
      <c r="L43" s="19">
        <f t="shared" si="30"/>
        <v>369636.6719662699</v>
      </c>
    </row>
    <row r="44" spans="1:14" ht="16.2" thickTop="1" x14ac:dyDescent="0.3">
      <c r="A44" s="7"/>
      <c r="B44" s="7"/>
      <c r="C44" s="14"/>
      <c r="D44" s="14"/>
      <c r="E44" s="14"/>
      <c r="F44" s="14"/>
      <c r="G44" s="14"/>
    </row>
    <row r="45" spans="1:14" ht="15.6" x14ac:dyDescent="0.3">
      <c r="A45" s="7" t="s">
        <v>37</v>
      </c>
      <c r="B45" s="7"/>
      <c r="C45" s="15"/>
      <c r="D45" s="15"/>
      <c r="E45" s="15"/>
      <c r="F45" s="15"/>
      <c r="G45" s="15"/>
    </row>
    <row r="46" spans="1:14" ht="15.6" x14ac:dyDescent="0.3">
      <c r="A46" s="8" t="s">
        <v>38</v>
      </c>
      <c r="B46" s="8"/>
      <c r="C46" s="15">
        <v>3902</v>
      </c>
      <c r="D46" s="15">
        <v>4800</v>
      </c>
      <c r="E46" s="15">
        <v>4912</v>
      </c>
      <c r="F46" s="15">
        <v>5266</v>
      </c>
      <c r="G46" s="15">
        <v>5670</v>
      </c>
      <c r="H46" s="27">
        <f>H22*H13/H17</f>
        <v>7061.086487671233</v>
      </c>
      <c r="I46" s="27">
        <f t="shared" ref="I46:L46" si="31">I22*I13/I17</f>
        <v>8691.8612241095907</v>
      </c>
      <c r="J46" s="27">
        <f t="shared" si="31"/>
        <v>10171.326964383563</v>
      </c>
      <c r="K46" s="27">
        <f t="shared" si="31"/>
        <v>8055.6909557917834</v>
      </c>
      <c r="L46" s="27">
        <f t="shared" si="31"/>
        <v>8615.1139388328793</v>
      </c>
    </row>
    <row r="47" spans="1:14" ht="15.6" x14ac:dyDescent="0.3">
      <c r="A47" s="8" t="s">
        <v>39</v>
      </c>
      <c r="B47" s="8"/>
      <c r="C47" s="15">
        <v>50000</v>
      </c>
      <c r="D47" s="15">
        <v>50000</v>
      </c>
      <c r="E47" s="15">
        <v>30000</v>
      </c>
      <c r="F47" s="15">
        <v>30000</v>
      </c>
      <c r="G47" s="15">
        <v>30000</v>
      </c>
      <c r="H47" s="20">
        <f>H96</f>
        <v>30000.000000000007</v>
      </c>
      <c r="I47" s="20">
        <f t="shared" ref="I47:L47" si="32">I96</f>
        <v>30000.000000000007</v>
      </c>
      <c r="J47" s="20">
        <f t="shared" si="32"/>
        <v>10000.000000000007</v>
      </c>
      <c r="K47" s="20">
        <f t="shared" si="32"/>
        <v>10000.000000000007</v>
      </c>
      <c r="L47" s="20">
        <f t="shared" si="32"/>
        <v>10000.000000000007</v>
      </c>
    </row>
    <row r="48" spans="1:14" ht="15.6" x14ac:dyDescent="0.3">
      <c r="A48" s="11" t="s">
        <v>40</v>
      </c>
      <c r="B48" s="11"/>
      <c r="C48" s="11">
        <f t="shared" ref="C48:L48" si="33">SUM(C46:C47)</f>
        <v>53902</v>
      </c>
      <c r="D48" s="11">
        <f t="shared" si="33"/>
        <v>54800</v>
      </c>
      <c r="E48" s="11">
        <f t="shared" si="33"/>
        <v>34912</v>
      </c>
      <c r="F48" s="11">
        <f t="shared" si="33"/>
        <v>35266</v>
      </c>
      <c r="G48" s="11">
        <f t="shared" si="33"/>
        <v>35670</v>
      </c>
      <c r="H48" s="11">
        <f t="shared" si="33"/>
        <v>37061.086487671244</v>
      </c>
      <c r="I48" s="11">
        <f t="shared" si="33"/>
        <v>38691.861224109598</v>
      </c>
      <c r="J48" s="11">
        <f t="shared" si="33"/>
        <v>20171.32696438357</v>
      </c>
      <c r="K48" s="11">
        <f t="shared" si="33"/>
        <v>18055.69095579179</v>
      </c>
      <c r="L48" s="11">
        <f t="shared" si="33"/>
        <v>18615.113938832888</v>
      </c>
    </row>
    <row r="49" spans="1:14" ht="15.6" x14ac:dyDescent="0.3">
      <c r="A49" s="7" t="s">
        <v>41</v>
      </c>
      <c r="B49" s="7"/>
      <c r="C49" s="15"/>
      <c r="D49" s="15"/>
      <c r="E49" s="15"/>
      <c r="F49" s="15"/>
      <c r="G49" s="15"/>
    </row>
    <row r="50" spans="1:14" ht="15.6" x14ac:dyDescent="0.3">
      <c r="A50" s="8" t="s">
        <v>42</v>
      </c>
      <c r="B50" s="8"/>
      <c r="C50" s="15">
        <v>70000</v>
      </c>
      <c r="D50" s="15">
        <v>70000</v>
      </c>
      <c r="E50" s="15">
        <v>70000</v>
      </c>
      <c r="F50" s="15">
        <v>70000</v>
      </c>
      <c r="G50" s="15">
        <v>70000</v>
      </c>
      <c r="H50" s="20">
        <f>G50+H70</f>
        <v>70000</v>
      </c>
      <c r="I50" s="20">
        <f t="shared" ref="I50:L50" si="34">H50+I70</f>
        <v>70000</v>
      </c>
      <c r="J50" s="20">
        <f t="shared" si="34"/>
        <v>70000</v>
      </c>
      <c r="K50" s="20">
        <f t="shared" si="34"/>
        <v>70000</v>
      </c>
      <c r="L50" s="20">
        <f t="shared" si="34"/>
        <v>70000</v>
      </c>
    </row>
    <row r="51" spans="1:14" ht="15.6" x14ac:dyDescent="0.3">
      <c r="A51" s="8" t="s">
        <v>43</v>
      </c>
      <c r="B51" s="8"/>
      <c r="C51" s="15">
        <v>2474</v>
      </c>
      <c r="D51" s="15">
        <v>14265</v>
      </c>
      <c r="E51" s="15">
        <v>35340</v>
      </c>
      <c r="F51" s="15">
        <v>62053</v>
      </c>
      <c r="G51" s="15">
        <v>90280</v>
      </c>
      <c r="H51" s="20">
        <f>G51+H33</f>
        <v>116823.39184</v>
      </c>
      <c r="I51" s="20">
        <f t="shared" ref="I51:L51" si="35">H51+I33</f>
        <v>141224.375944</v>
      </c>
      <c r="J51" s="20">
        <f t="shared" si="35"/>
        <v>166433.49667720002</v>
      </c>
      <c r="K51" s="20">
        <f t="shared" si="35"/>
        <v>219182.99162338005</v>
      </c>
      <c r="L51" s="20">
        <f t="shared" si="35"/>
        <v>281021.55802743707</v>
      </c>
    </row>
    <row r="52" spans="1:14" ht="15.6" x14ac:dyDescent="0.3">
      <c r="A52" s="21" t="s">
        <v>41</v>
      </c>
      <c r="B52" s="21"/>
      <c r="C52" s="21">
        <f t="shared" ref="C52:L52" si="36">SUM(C50:C51)</f>
        <v>72474</v>
      </c>
      <c r="D52" s="21">
        <f t="shared" si="36"/>
        <v>84265</v>
      </c>
      <c r="E52" s="21">
        <f t="shared" si="36"/>
        <v>105340</v>
      </c>
      <c r="F52" s="21">
        <f t="shared" si="36"/>
        <v>132053</v>
      </c>
      <c r="G52" s="21">
        <f t="shared" si="36"/>
        <v>160280</v>
      </c>
      <c r="H52" s="21">
        <f t="shared" si="36"/>
        <v>186823.39184</v>
      </c>
      <c r="I52" s="21">
        <f t="shared" si="36"/>
        <v>211224.375944</v>
      </c>
      <c r="J52" s="21">
        <f t="shared" si="36"/>
        <v>236433.49667720002</v>
      </c>
      <c r="K52" s="21">
        <f t="shared" si="36"/>
        <v>289182.99162338005</v>
      </c>
      <c r="L52" s="21">
        <f t="shared" si="36"/>
        <v>351021.55802743707</v>
      </c>
    </row>
    <row r="53" spans="1:14" ht="16.2" thickBot="1" x14ac:dyDescent="0.35">
      <c r="A53" s="19" t="s">
        <v>44</v>
      </c>
      <c r="B53" s="19"/>
      <c r="C53" s="19">
        <f t="shared" ref="C53:L53" si="37">C48+C52</f>
        <v>126376</v>
      </c>
      <c r="D53" s="19">
        <f t="shared" si="37"/>
        <v>139065</v>
      </c>
      <c r="E53" s="19">
        <f t="shared" si="37"/>
        <v>140252</v>
      </c>
      <c r="F53" s="19">
        <f t="shared" si="37"/>
        <v>167319</v>
      </c>
      <c r="G53" s="19">
        <f t="shared" si="37"/>
        <v>195950</v>
      </c>
      <c r="H53" s="19">
        <f t="shared" si="37"/>
        <v>223884.47832767124</v>
      </c>
      <c r="I53" s="19">
        <f t="shared" si="37"/>
        <v>249916.2371681096</v>
      </c>
      <c r="J53" s="19">
        <f t="shared" si="37"/>
        <v>256604.82364158359</v>
      </c>
      <c r="K53" s="19">
        <f t="shared" si="37"/>
        <v>307238.68257917184</v>
      </c>
      <c r="L53" s="19">
        <f t="shared" si="37"/>
        <v>369636.67196626996</v>
      </c>
    </row>
    <row r="54" spans="1:14" ht="16.2" thickTop="1" x14ac:dyDescent="0.3">
      <c r="A54" s="12" t="s">
        <v>74</v>
      </c>
      <c r="B54" s="28"/>
      <c r="C54" s="28">
        <f>C53-C43</f>
        <v>0</v>
      </c>
      <c r="D54" s="28">
        <f t="shared" ref="D54:L54" si="38">D53-D43</f>
        <v>0</v>
      </c>
      <c r="E54" s="28">
        <f t="shared" si="38"/>
        <v>0</v>
      </c>
      <c r="F54" s="28">
        <f t="shared" si="38"/>
        <v>0</v>
      </c>
      <c r="G54" s="28">
        <f t="shared" si="38"/>
        <v>0</v>
      </c>
      <c r="H54" s="28">
        <f t="shared" si="38"/>
        <v>0</v>
      </c>
      <c r="I54" s="28">
        <f t="shared" si="38"/>
        <v>0</v>
      </c>
      <c r="J54" s="28">
        <f t="shared" si="38"/>
        <v>0</v>
      </c>
      <c r="K54" s="28">
        <f t="shared" si="38"/>
        <v>0</v>
      </c>
      <c r="L54" s="28">
        <f t="shared" si="38"/>
        <v>0</v>
      </c>
    </row>
    <row r="56" spans="1:14" ht="21" x14ac:dyDescent="0.3">
      <c r="A56" s="13" t="s">
        <v>45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</row>
    <row r="58" spans="1:14" ht="15.6" x14ac:dyDescent="0.3">
      <c r="A58" s="7" t="s">
        <v>46</v>
      </c>
      <c r="B58" s="7"/>
      <c r="C58" s="8"/>
      <c r="D58" s="9"/>
      <c r="E58" s="15"/>
      <c r="F58" s="15"/>
      <c r="G58" s="15"/>
      <c r="H58" s="15"/>
      <c r="I58" s="15"/>
      <c r="J58" s="8"/>
    </row>
    <row r="59" spans="1:14" ht="15.6" x14ac:dyDescent="0.3">
      <c r="A59" s="8" t="s">
        <v>29</v>
      </c>
      <c r="B59" s="8"/>
      <c r="C59" s="15">
        <v>2474</v>
      </c>
      <c r="D59" s="15">
        <v>11791</v>
      </c>
      <c r="E59" s="15">
        <v>21075</v>
      </c>
      <c r="F59" s="15">
        <v>26713</v>
      </c>
      <c r="G59" s="15">
        <v>28227</v>
      </c>
      <c r="H59" s="8">
        <f>H33</f>
        <v>26543.391840000004</v>
      </c>
      <c r="I59" s="8">
        <f t="shared" ref="I59:L59" si="39">I33</f>
        <v>24400.984104000003</v>
      </c>
      <c r="J59" s="8">
        <f t="shared" si="39"/>
        <v>25209.120733200005</v>
      </c>
      <c r="K59" s="8">
        <f t="shared" si="39"/>
        <v>52749.494946180028</v>
      </c>
      <c r="L59" s="8">
        <f t="shared" si="39"/>
        <v>61838.566404057026</v>
      </c>
    </row>
    <row r="60" spans="1:14" ht="15.6" x14ac:dyDescent="0.3">
      <c r="A60" s="8" t="s">
        <v>47</v>
      </c>
      <c r="B60" s="8"/>
      <c r="C60" s="15">
        <v>19500</v>
      </c>
      <c r="D60" s="15">
        <v>18150</v>
      </c>
      <c r="E60" s="15">
        <v>17205</v>
      </c>
      <c r="F60" s="15">
        <v>16544</v>
      </c>
      <c r="G60" s="15">
        <v>16080</v>
      </c>
      <c r="H60" s="8">
        <f>H90</f>
        <v>13132.349999999999</v>
      </c>
      <c r="I60" s="8">
        <f t="shared" ref="I60:L60" si="40">I90</f>
        <v>13786.0275</v>
      </c>
      <c r="J60" s="8">
        <f t="shared" si="40"/>
        <v>14210.917874999999</v>
      </c>
      <c r="K60" s="8">
        <f t="shared" si="40"/>
        <v>14487.096618749998</v>
      </c>
      <c r="L60" s="8">
        <f t="shared" si="40"/>
        <v>14666.612802187497</v>
      </c>
    </row>
    <row r="61" spans="1:14" ht="15.6" x14ac:dyDescent="0.3">
      <c r="A61" s="8" t="s">
        <v>48</v>
      </c>
      <c r="B61" s="8"/>
      <c r="C61" s="15">
        <v>9003</v>
      </c>
      <c r="D61" s="15">
        <v>1702</v>
      </c>
      <c r="E61" s="15">
        <v>775</v>
      </c>
      <c r="F61" s="15">
        <v>902</v>
      </c>
      <c r="G61" s="15">
        <v>828</v>
      </c>
      <c r="H61" s="8">
        <f>H85</f>
        <v>3174.9921972602751</v>
      </c>
      <c r="I61" s="8">
        <f t="shared" ref="I61:L61" si="41">I85</f>
        <v>5062.2628416438383</v>
      </c>
      <c r="J61" s="8">
        <f t="shared" si="41"/>
        <v>5767.9171090411</v>
      </c>
      <c r="K61" s="8">
        <f t="shared" si="41"/>
        <v>-2612.6565262027398</v>
      </c>
      <c r="L61" s="8">
        <f t="shared" si="41"/>
        <v>2041.1379110958951</v>
      </c>
    </row>
    <row r="62" spans="1:14" ht="15.6" x14ac:dyDescent="0.3">
      <c r="A62" s="11" t="s">
        <v>49</v>
      </c>
      <c r="B62" s="11"/>
      <c r="C62" s="11">
        <f t="shared" ref="C62:L62" si="42">C59+C60-C61</f>
        <v>12971</v>
      </c>
      <c r="D62" s="11">
        <f t="shared" si="42"/>
        <v>28239</v>
      </c>
      <c r="E62" s="11">
        <f t="shared" si="42"/>
        <v>37505</v>
      </c>
      <c r="F62" s="11">
        <f t="shared" si="42"/>
        <v>42355</v>
      </c>
      <c r="G62" s="11">
        <f t="shared" si="42"/>
        <v>43479</v>
      </c>
      <c r="H62" s="11">
        <f t="shared" si="42"/>
        <v>36500.749642739727</v>
      </c>
      <c r="I62" s="11">
        <f t="shared" si="42"/>
        <v>33124.748762356161</v>
      </c>
      <c r="J62" s="11">
        <f t="shared" si="42"/>
        <v>33652.121499158908</v>
      </c>
      <c r="K62" s="11">
        <f t="shared" si="42"/>
        <v>69849.248091132773</v>
      </c>
      <c r="L62" s="11">
        <f t="shared" si="42"/>
        <v>74464.041295148636</v>
      </c>
    </row>
    <row r="63" spans="1:14" ht="15.6" x14ac:dyDescent="0.3">
      <c r="A63" s="7"/>
      <c r="B63" s="7"/>
      <c r="C63" s="14"/>
      <c r="D63" s="14"/>
      <c r="E63" s="14"/>
      <c r="F63" s="14"/>
      <c r="G63" s="14"/>
      <c r="H63" s="7"/>
    </row>
    <row r="64" spans="1:14" ht="15.6" x14ac:dyDescent="0.3">
      <c r="A64" s="7" t="s">
        <v>50</v>
      </c>
      <c r="B64" s="7"/>
      <c r="C64" s="15"/>
      <c r="D64" s="15"/>
      <c r="E64" s="15"/>
      <c r="F64" s="15"/>
      <c r="G64" s="15"/>
      <c r="H64" s="8"/>
    </row>
    <row r="65" spans="1:14" ht="15.6" x14ac:dyDescent="0.3">
      <c r="A65" s="8" t="s">
        <v>51</v>
      </c>
      <c r="B65" s="8"/>
      <c r="C65" s="15">
        <v>15000</v>
      </c>
      <c r="D65" s="15">
        <v>15000</v>
      </c>
      <c r="E65" s="15">
        <v>15000</v>
      </c>
      <c r="F65" s="15">
        <v>15000</v>
      </c>
      <c r="G65" s="15">
        <v>15000</v>
      </c>
      <c r="H65" s="8">
        <f>H89</f>
        <v>15000</v>
      </c>
      <c r="I65" s="8">
        <f t="shared" ref="I65:L65" si="43">I89</f>
        <v>15000</v>
      </c>
      <c r="J65" s="8">
        <f t="shared" si="43"/>
        <v>15000</v>
      </c>
      <c r="K65" s="8">
        <f t="shared" si="43"/>
        <v>15000</v>
      </c>
      <c r="L65" s="8">
        <f t="shared" si="43"/>
        <v>15000</v>
      </c>
    </row>
    <row r="66" spans="1:14" ht="15.6" x14ac:dyDescent="0.3">
      <c r="A66" s="11" t="s">
        <v>52</v>
      </c>
      <c r="B66" s="11"/>
      <c r="C66" s="11">
        <f t="shared" ref="C66:L66" si="44">SUM(C65)</f>
        <v>15000</v>
      </c>
      <c r="D66" s="11">
        <f t="shared" si="44"/>
        <v>15000</v>
      </c>
      <c r="E66" s="11">
        <f t="shared" si="44"/>
        <v>15000</v>
      </c>
      <c r="F66" s="11">
        <f t="shared" si="44"/>
        <v>15000</v>
      </c>
      <c r="G66" s="11">
        <f t="shared" si="44"/>
        <v>15000</v>
      </c>
      <c r="H66" s="11">
        <f t="shared" si="44"/>
        <v>15000</v>
      </c>
      <c r="I66" s="11">
        <f t="shared" si="44"/>
        <v>15000</v>
      </c>
      <c r="J66" s="11">
        <f t="shared" si="44"/>
        <v>15000</v>
      </c>
      <c r="K66" s="11">
        <f t="shared" si="44"/>
        <v>15000</v>
      </c>
      <c r="L66" s="11">
        <f t="shared" si="44"/>
        <v>15000</v>
      </c>
    </row>
    <row r="67" spans="1:14" ht="15.6" x14ac:dyDescent="0.3">
      <c r="A67" s="7"/>
      <c r="B67" s="7"/>
      <c r="C67" s="14"/>
      <c r="D67" s="14"/>
      <c r="E67" s="14"/>
      <c r="F67" s="14"/>
      <c r="G67" s="14"/>
      <c r="H67" s="7"/>
    </row>
    <row r="68" spans="1:14" ht="15.6" x14ac:dyDescent="0.3">
      <c r="A68" s="7" t="s">
        <v>53</v>
      </c>
      <c r="B68" s="7"/>
      <c r="C68" s="15"/>
      <c r="D68" s="15"/>
      <c r="E68" s="15"/>
      <c r="F68" s="15"/>
      <c r="G68" s="15"/>
      <c r="H68" s="8"/>
    </row>
    <row r="69" spans="1:14" ht="15.6" x14ac:dyDescent="0.3">
      <c r="A69" s="8" t="s">
        <v>54</v>
      </c>
      <c r="B69" s="8"/>
      <c r="C69" s="15">
        <v>0</v>
      </c>
      <c r="D69" s="15">
        <v>0</v>
      </c>
      <c r="E69" s="15">
        <v>-20000</v>
      </c>
      <c r="F69" s="15">
        <v>0</v>
      </c>
      <c r="G69" s="15">
        <v>0</v>
      </c>
      <c r="H69" s="8">
        <f>H95</f>
        <v>0</v>
      </c>
      <c r="I69" s="8">
        <f t="shared" ref="I69:L69" si="45">I95</f>
        <v>0</v>
      </c>
      <c r="J69" s="8">
        <f t="shared" si="45"/>
        <v>-20000</v>
      </c>
      <c r="K69" s="8">
        <f t="shared" si="45"/>
        <v>0</v>
      </c>
      <c r="L69" s="8">
        <f t="shared" si="45"/>
        <v>0</v>
      </c>
    </row>
    <row r="70" spans="1:14" ht="15.6" x14ac:dyDescent="0.3">
      <c r="A70" s="8" t="s">
        <v>55</v>
      </c>
      <c r="B70" s="8"/>
      <c r="C70" s="15">
        <v>70000</v>
      </c>
      <c r="D70" s="15">
        <v>0</v>
      </c>
      <c r="E70" s="15">
        <v>0</v>
      </c>
      <c r="F70" s="15">
        <v>0</v>
      </c>
      <c r="G70" s="15">
        <v>0</v>
      </c>
      <c r="H70" s="8">
        <f>I16</f>
        <v>0</v>
      </c>
      <c r="I70" s="8">
        <f t="shared" ref="I70:L70" si="46">J16</f>
        <v>0</v>
      </c>
      <c r="J70" s="8">
        <f t="shared" si="46"/>
        <v>0</v>
      </c>
      <c r="K70" s="8">
        <f t="shared" si="46"/>
        <v>0</v>
      </c>
      <c r="L70" s="8">
        <f t="shared" si="46"/>
        <v>0</v>
      </c>
    </row>
    <row r="71" spans="1:14" ht="15.6" x14ac:dyDescent="0.3">
      <c r="A71" s="11" t="s">
        <v>56</v>
      </c>
      <c r="B71" s="11"/>
      <c r="C71" s="11">
        <f t="shared" ref="C71:G71" si="47">SUM(C69:C70)</f>
        <v>70000</v>
      </c>
      <c r="D71" s="11">
        <f t="shared" si="47"/>
        <v>0</v>
      </c>
      <c r="E71" s="11">
        <f t="shared" si="47"/>
        <v>-20000</v>
      </c>
      <c r="F71" s="11">
        <f t="shared" si="47"/>
        <v>0</v>
      </c>
      <c r="G71" s="11">
        <f t="shared" si="47"/>
        <v>0</v>
      </c>
      <c r="H71" s="11">
        <f>SUM(H69:H70)</f>
        <v>0</v>
      </c>
      <c r="I71" s="11">
        <f t="shared" ref="I71:L71" si="48">SUM(I69:I70)</f>
        <v>0</v>
      </c>
      <c r="J71" s="11">
        <f t="shared" si="48"/>
        <v>-20000</v>
      </c>
      <c r="K71" s="11">
        <f t="shared" si="48"/>
        <v>0</v>
      </c>
      <c r="L71" s="11">
        <f t="shared" si="48"/>
        <v>0</v>
      </c>
    </row>
    <row r="72" spans="1:14" ht="15.6" x14ac:dyDescent="0.3">
      <c r="A72" s="7"/>
      <c r="B72" s="7"/>
      <c r="C72" s="14"/>
      <c r="D72" s="14"/>
      <c r="E72" s="14"/>
      <c r="F72" s="14"/>
      <c r="G72" s="14"/>
      <c r="H72" s="7"/>
    </row>
    <row r="73" spans="1:14" ht="15.6" x14ac:dyDescent="0.3">
      <c r="A73" s="8" t="s">
        <v>57</v>
      </c>
      <c r="B73" s="8"/>
      <c r="C73" s="8">
        <f t="shared" ref="C73:G73" si="49">C62-C66+C71</f>
        <v>67971</v>
      </c>
      <c r="D73" s="8">
        <f t="shared" si="49"/>
        <v>13239</v>
      </c>
      <c r="E73" s="8">
        <f t="shared" si="49"/>
        <v>2505</v>
      </c>
      <c r="F73" s="8">
        <f t="shared" si="49"/>
        <v>27355</v>
      </c>
      <c r="G73" s="8">
        <f>G62-G66+G71</f>
        <v>28479</v>
      </c>
      <c r="H73" s="8">
        <f t="shared" ref="H73:L73" si="50">H62-H66+H71</f>
        <v>21500.749642739727</v>
      </c>
      <c r="I73" s="8">
        <f t="shared" si="50"/>
        <v>18124.748762356161</v>
      </c>
      <c r="J73" s="8">
        <f t="shared" si="50"/>
        <v>-1347.8785008410923</v>
      </c>
      <c r="K73" s="8">
        <f t="shared" si="50"/>
        <v>54849.248091132773</v>
      </c>
      <c r="L73" s="8">
        <f t="shared" si="50"/>
        <v>59464.041295148636</v>
      </c>
    </row>
    <row r="74" spans="1:14" ht="15.6" x14ac:dyDescent="0.3">
      <c r="A74" s="8" t="s">
        <v>58</v>
      </c>
      <c r="B74" s="8"/>
      <c r="C74" s="15">
        <v>0</v>
      </c>
      <c r="D74" s="8">
        <f t="shared" ref="D74:G74" si="51">C75</f>
        <v>67971</v>
      </c>
      <c r="E74" s="8">
        <f t="shared" si="51"/>
        <v>81210</v>
      </c>
      <c r="F74" s="8">
        <f t="shared" si="51"/>
        <v>83715</v>
      </c>
      <c r="G74" s="8">
        <f>F75</f>
        <v>111070</v>
      </c>
      <c r="H74" s="8">
        <f>G75</f>
        <v>139549</v>
      </c>
      <c r="I74" s="8">
        <f t="shared" ref="I74:L74" si="52">H75</f>
        <v>161049.74964273971</v>
      </c>
      <c r="J74" s="8">
        <f t="shared" si="52"/>
        <v>179174.49840509589</v>
      </c>
      <c r="K74" s="8">
        <f t="shared" si="52"/>
        <v>177826.6199042548</v>
      </c>
      <c r="L74" s="8">
        <f t="shared" si="52"/>
        <v>232675.86799538758</v>
      </c>
    </row>
    <row r="75" spans="1:14" ht="15.6" x14ac:dyDescent="0.3">
      <c r="A75" s="11" t="s">
        <v>59</v>
      </c>
      <c r="B75" s="11"/>
      <c r="C75" s="11">
        <f t="shared" ref="C75:L75" si="53">SUM(C73:C74)</f>
        <v>67971</v>
      </c>
      <c r="D75" s="11">
        <f t="shared" si="53"/>
        <v>81210</v>
      </c>
      <c r="E75" s="11">
        <f t="shared" si="53"/>
        <v>83715</v>
      </c>
      <c r="F75" s="11">
        <f t="shared" si="53"/>
        <v>111070</v>
      </c>
      <c r="G75" s="11">
        <f t="shared" si="53"/>
        <v>139549</v>
      </c>
      <c r="H75" s="11">
        <f t="shared" si="53"/>
        <v>161049.74964273971</v>
      </c>
      <c r="I75" s="11">
        <f t="shared" si="53"/>
        <v>179174.49840509589</v>
      </c>
      <c r="J75" s="11">
        <f t="shared" si="53"/>
        <v>177826.6199042548</v>
      </c>
      <c r="K75" s="11">
        <f t="shared" si="53"/>
        <v>232675.86799538758</v>
      </c>
      <c r="L75" s="11">
        <f t="shared" si="53"/>
        <v>292139.90929053619</v>
      </c>
    </row>
    <row r="78" spans="1:14" ht="21" x14ac:dyDescent="0.3">
      <c r="A78" s="13" t="s">
        <v>60</v>
      </c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</row>
    <row r="80" spans="1:14" ht="15.6" x14ac:dyDescent="0.3">
      <c r="A80" s="7" t="s">
        <v>61</v>
      </c>
      <c r="B80" s="7"/>
      <c r="C80" s="8"/>
      <c r="D80" s="9"/>
      <c r="E80" s="15"/>
      <c r="F80" s="15"/>
      <c r="G80" s="15"/>
      <c r="H80" s="15"/>
      <c r="I80" s="15"/>
    </row>
    <row r="81" spans="1:13" ht="15.6" x14ac:dyDescent="0.3">
      <c r="A81" s="8" t="s">
        <v>33</v>
      </c>
      <c r="B81" s="8"/>
      <c r="C81" s="8">
        <f>C40</f>
        <v>5100</v>
      </c>
      <c r="D81" s="8">
        <f t="shared" ref="D81:G81" si="54">D40</f>
        <v>5904</v>
      </c>
      <c r="E81" s="8">
        <f t="shared" si="54"/>
        <v>6567</v>
      </c>
      <c r="F81" s="8">
        <f t="shared" si="54"/>
        <v>7117</v>
      </c>
      <c r="G81" s="8">
        <f t="shared" si="54"/>
        <v>7538</v>
      </c>
      <c r="H81" s="27">
        <f>H40</f>
        <v>8178.8646575342473</v>
      </c>
      <c r="I81" s="27">
        <f t="shared" ref="I81:M81" si="55">I40</f>
        <v>8996.7511232876732</v>
      </c>
      <c r="J81" s="27">
        <f t="shared" si="55"/>
        <v>9896.42623561644</v>
      </c>
      <c r="K81" s="27">
        <f t="shared" si="55"/>
        <v>10886.068859178085</v>
      </c>
      <c r="L81" s="27">
        <f t="shared" si="55"/>
        <v>11974.675745095894</v>
      </c>
      <c r="M81" s="27"/>
    </row>
    <row r="82" spans="1:13" ht="15.6" x14ac:dyDescent="0.3">
      <c r="A82" s="8" t="s">
        <v>34</v>
      </c>
      <c r="B82" s="8"/>
      <c r="C82" s="8">
        <f>C41</f>
        <v>7805</v>
      </c>
      <c r="D82" s="8">
        <f t="shared" ref="D82:G82" si="56">D41</f>
        <v>9601</v>
      </c>
      <c r="E82" s="8">
        <f t="shared" si="56"/>
        <v>9825</v>
      </c>
      <c r="F82" s="8">
        <f t="shared" si="56"/>
        <v>10531</v>
      </c>
      <c r="G82" s="8">
        <f t="shared" si="56"/>
        <v>11342</v>
      </c>
      <c r="H82" s="27">
        <f>H41</f>
        <v>15267.21402739726</v>
      </c>
      <c r="I82" s="27">
        <f t="shared" ref="I82:L82" si="57">I41</f>
        <v>21142.365139726033</v>
      </c>
      <c r="J82" s="27">
        <f t="shared" si="57"/>
        <v>27490.072876712333</v>
      </c>
      <c r="K82" s="27">
        <f t="shared" si="57"/>
        <v>21772.137718356171</v>
      </c>
      <c r="L82" s="27">
        <f t="shared" si="57"/>
        <v>23284.091726575352</v>
      </c>
    </row>
    <row r="83" spans="1:13" ht="15.6" x14ac:dyDescent="0.3">
      <c r="A83" s="8" t="s">
        <v>38</v>
      </c>
      <c r="B83" s="8"/>
      <c r="C83" s="8">
        <f>C46</f>
        <v>3902</v>
      </c>
      <c r="D83" s="8">
        <f t="shared" ref="D83:G83" si="58">D46</f>
        <v>4800</v>
      </c>
      <c r="E83" s="8">
        <f t="shared" si="58"/>
        <v>4912</v>
      </c>
      <c r="F83" s="8">
        <f t="shared" si="58"/>
        <v>5266</v>
      </c>
      <c r="G83" s="8">
        <f t="shared" si="58"/>
        <v>5670</v>
      </c>
      <c r="H83" s="27">
        <f>H46</f>
        <v>7061.086487671233</v>
      </c>
      <c r="I83" s="27">
        <f t="shared" ref="I83:L83" si="59">I46</f>
        <v>8691.8612241095907</v>
      </c>
      <c r="J83" s="27">
        <f t="shared" si="59"/>
        <v>10171.326964383563</v>
      </c>
      <c r="K83" s="27">
        <f t="shared" si="59"/>
        <v>8055.6909557917834</v>
      </c>
      <c r="L83" s="27">
        <f t="shared" si="59"/>
        <v>8615.1139388328793</v>
      </c>
    </row>
    <row r="84" spans="1:13" ht="15.6" x14ac:dyDescent="0.3">
      <c r="A84" s="10" t="s">
        <v>62</v>
      </c>
      <c r="B84" s="10"/>
      <c r="C84" s="10">
        <f>C81+C82-C83</f>
        <v>9003</v>
      </c>
      <c r="D84" s="10">
        <f t="shared" ref="D84:L84" si="60">D81+D82-D83</f>
        <v>10705</v>
      </c>
      <c r="E84" s="10">
        <f t="shared" si="60"/>
        <v>11480</v>
      </c>
      <c r="F84" s="10">
        <f t="shared" si="60"/>
        <v>12382</v>
      </c>
      <c r="G84" s="10">
        <f t="shared" si="60"/>
        <v>13210</v>
      </c>
      <c r="H84" s="10">
        <f t="shared" si="60"/>
        <v>16384.992197260275</v>
      </c>
      <c r="I84" s="10">
        <f t="shared" si="60"/>
        <v>21447.255038904113</v>
      </c>
      <c r="J84" s="10">
        <f t="shared" si="60"/>
        <v>27215.172147945214</v>
      </c>
      <c r="K84" s="10">
        <f t="shared" si="60"/>
        <v>24602.515621742474</v>
      </c>
      <c r="L84" s="10">
        <f t="shared" si="60"/>
        <v>26643.653532838369</v>
      </c>
    </row>
    <row r="85" spans="1:13" ht="15.6" x14ac:dyDescent="0.3">
      <c r="A85" s="8" t="s">
        <v>63</v>
      </c>
      <c r="B85" s="8"/>
      <c r="C85" s="8">
        <f>C84-B84</f>
        <v>9003</v>
      </c>
      <c r="D85" s="8">
        <f t="shared" ref="D85:G85" si="61">D84-C84</f>
        <v>1702</v>
      </c>
      <c r="E85" s="8">
        <f t="shared" si="61"/>
        <v>775</v>
      </c>
      <c r="F85" s="8">
        <f t="shared" si="61"/>
        <v>902</v>
      </c>
      <c r="G85" s="8">
        <f t="shared" si="61"/>
        <v>828</v>
      </c>
      <c r="H85" s="8">
        <f t="shared" ref="H85" si="62">H84-G84</f>
        <v>3174.9921972602751</v>
      </c>
      <c r="I85" s="8">
        <f t="shared" ref="I85" si="63">I84-H84</f>
        <v>5062.2628416438383</v>
      </c>
      <c r="J85" s="8">
        <f t="shared" ref="J85" si="64">J84-I84</f>
        <v>5767.9171090411</v>
      </c>
      <c r="K85" s="8">
        <f t="shared" ref="K85:L85" si="65">K84-J84</f>
        <v>-2612.6565262027398</v>
      </c>
      <c r="L85" s="8">
        <f t="shared" si="65"/>
        <v>2041.1379110958951</v>
      </c>
    </row>
    <row r="86" spans="1:13" ht="15.6" x14ac:dyDescent="0.3">
      <c r="A86" s="8"/>
      <c r="B86" s="8"/>
      <c r="C86" s="15"/>
      <c r="D86" s="15"/>
      <c r="E86" s="15"/>
      <c r="F86" s="15"/>
      <c r="G86" s="15"/>
    </row>
    <row r="87" spans="1:13" ht="15.6" x14ac:dyDescent="0.3">
      <c r="A87" s="7" t="s">
        <v>64</v>
      </c>
      <c r="B87" s="7"/>
      <c r="C87" s="15"/>
      <c r="D87" s="15"/>
      <c r="E87" s="15"/>
      <c r="F87" s="15"/>
      <c r="G87" s="15"/>
    </row>
    <row r="88" spans="1:13" ht="15.6" x14ac:dyDescent="0.3">
      <c r="A88" s="8" t="s">
        <v>65</v>
      </c>
      <c r="B88" s="8"/>
      <c r="C88" s="15">
        <v>50000</v>
      </c>
      <c r="D88" s="8">
        <f>C91</f>
        <v>45500</v>
      </c>
      <c r="E88" s="8">
        <f t="shared" ref="D88:G88" si="66">D91</f>
        <v>42350</v>
      </c>
      <c r="F88" s="8">
        <f t="shared" si="66"/>
        <v>40145</v>
      </c>
      <c r="G88" s="8">
        <f t="shared" si="66"/>
        <v>38601</v>
      </c>
      <c r="H88" s="20">
        <f>G91</f>
        <v>37521</v>
      </c>
      <c r="I88" s="20">
        <f>H91</f>
        <v>39388.65</v>
      </c>
      <c r="J88" s="20">
        <f t="shared" ref="J88:L88" si="67">I91</f>
        <v>40602.622499999998</v>
      </c>
      <c r="K88" s="20">
        <f t="shared" si="67"/>
        <v>41391.704624999998</v>
      </c>
      <c r="L88" s="20">
        <f t="shared" si="67"/>
        <v>41904.608006249997</v>
      </c>
    </row>
    <row r="89" spans="1:13" ht="15.6" x14ac:dyDescent="0.3">
      <c r="A89" s="8" t="s">
        <v>66</v>
      </c>
      <c r="B89" s="8"/>
      <c r="C89" s="8">
        <f>C65</f>
        <v>15000</v>
      </c>
      <c r="D89" s="8">
        <f t="shared" ref="D89:H89" si="68">D65</f>
        <v>15000</v>
      </c>
      <c r="E89" s="8">
        <f t="shared" si="68"/>
        <v>15000</v>
      </c>
      <c r="F89" s="8">
        <f t="shared" si="68"/>
        <v>15000</v>
      </c>
      <c r="G89" s="8">
        <f t="shared" si="68"/>
        <v>15000</v>
      </c>
      <c r="H89" s="8">
        <f>H14</f>
        <v>15000</v>
      </c>
      <c r="I89" s="8">
        <f t="shared" ref="I89:L89" si="69">I14</f>
        <v>15000</v>
      </c>
      <c r="J89" s="8">
        <f t="shared" ref="J89:L89" si="70">J14</f>
        <v>15000</v>
      </c>
      <c r="K89" s="8">
        <f t="shared" si="70"/>
        <v>15000</v>
      </c>
      <c r="L89" s="8">
        <f t="shared" si="70"/>
        <v>15000</v>
      </c>
    </row>
    <row r="90" spans="1:13" ht="15.6" x14ac:dyDescent="0.3">
      <c r="A90" s="8" t="s">
        <v>67</v>
      </c>
      <c r="B90" s="8"/>
      <c r="C90" s="8">
        <f>C60</f>
        <v>19500</v>
      </c>
      <c r="D90" s="8">
        <f t="shared" ref="D90:G90" si="71">D60</f>
        <v>18150</v>
      </c>
      <c r="E90" s="8">
        <f t="shared" si="71"/>
        <v>17205</v>
      </c>
      <c r="F90" s="8">
        <f t="shared" si="71"/>
        <v>16544</v>
      </c>
      <c r="G90" s="8">
        <f t="shared" si="71"/>
        <v>16080</v>
      </c>
      <c r="H90" s="27">
        <f>H88*H8</f>
        <v>13132.349999999999</v>
      </c>
      <c r="I90" s="27">
        <f>I88*I8</f>
        <v>13786.0275</v>
      </c>
      <c r="J90" s="27">
        <f t="shared" ref="J90:L90" si="72">J88*J8</f>
        <v>14210.917874999999</v>
      </c>
      <c r="K90" s="27">
        <f t="shared" si="72"/>
        <v>14487.096618749998</v>
      </c>
      <c r="L90" s="27">
        <f t="shared" si="72"/>
        <v>14666.612802187497</v>
      </c>
    </row>
    <row r="91" spans="1:13" ht="15.6" x14ac:dyDescent="0.3">
      <c r="A91" s="10" t="s">
        <v>68</v>
      </c>
      <c r="B91" s="10"/>
      <c r="C91" s="10">
        <f t="shared" ref="C91:G91" si="73">C88+C89-C90</f>
        <v>45500</v>
      </c>
      <c r="D91" s="10">
        <f t="shared" si="73"/>
        <v>42350</v>
      </c>
      <c r="E91" s="10">
        <f t="shared" si="73"/>
        <v>40145</v>
      </c>
      <c r="F91" s="10">
        <f t="shared" si="73"/>
        <v>38601</v>
      </c>
      <c r="G91" s="10">
        <f>G88+G89-G90</f>
        <v>37521</v>
      </c>
      <c r="H91" s="10">
        <f>H88+H89-H90</f>
        <v>39388.65</v>
      </c>
      <c r="I91" s="10">
        <f>I88+I89-I90</f>
        <v>40602.622499999998</v>
      </c>
      <c r="J91" s="10">
        <f>J88+J89-J90</f>
        <v>41391.704624999998</v>
      </c>
      <c r="K91" s="10">
        <f>K88+K89-K90</f>
        <v>41904.608006249997</v>
      </c>
      <c r="L91" s="10">
        <f>L88+L89-L90</f>
        <v>42237.995204062499</v>
      </c>
    </row>
    <row r="92" spans="1:13" ht="15.6" x14ac:dyDescent="0.3">
      <c r="A92" s="8"/>
      <c r="B92" s="8"/>
      <c r="C92" s="15"/>
      <c r="D92" s="15"/>
      <c r="E92" s="15"/>
      <c r="F92" s="15"/>
      <c r="G92" s="15"/>
    </row>
    <row r="93" spans="1:13" ht="15.6" x14ac:dyDescent="0.3">
      <c r="A93" s="7" t="s">
        <v>69</v>
      </c>
      <c r="B93" s="7"/>
      <c r="C93" s="15"/>
      <c r="D93" s="15"/>
      <c r="E93" s="15"/>
      <c r="F93" s="15"/>
      <c r="G93" s="15"/>
    </row>
    <row r="94" spans="1:13" ht="15.6" x14ac:dyDescent="0.3">
      <c r="A94" s="8" t="s">
        <v>70</v>
      </c>
      <c r="B94" s="8"/>
      <c r="C94" s="15">
        <v>50000.000000000007</v>
      </c>
      <c r="D94" s="8">
        <f>C96</f>
        <v>50000.000000000007</v>
      </c>
      <c r="E94" s="8">
        <f t="shared" ref="D94:G94" si="74">D96</f>
        <v>50000.000000000007</v>
      </c>
      <c r="F94" s="8">
        <f t="shared" si="74"/>
        <v>30000.000000000007</v>
      </c>
      <c r="G94" s="8">
        <f t="shared" si="74"/>
        <v>30000.000000000007</v>
      </c>
      <c r="H94" s="20">
        <f>G96</f>
        <v>30000.000000000007</v>
      </c>
      <c r="I94" s="20">
        <f t="shared" ref="I94:L94" si="75">H96</f>
        <v>30000.000000000007</v>
      </c>
      <c r="J94" s="20">
        <f t="shared" si="75"/>
        <v>30000.000000000007</v>
      </c>
      <c r="K94" s="20">
        <f t="shared" si="75"/>
        <v>10000.000000000007</v>
      </c>
      <c r="L94" s="20">
        <f t="shared" si="75"/>
        <v>10000.000000000007</v>
      </c>
    </row>
    <row r="95" spans="1:13" ht="15.6" x14ac:dyDescent="0.3">
      <c r="A95" s="8" t="s">
        <v>71</v>
      </c>
      <c r="B95" s="8"/>
      <c r="C95" s="8">
        <f>C15</f>
        <v>0</v>
      </c>
      <c r="D95" s="8">
        <f t="shared" ref="D95:L95" si="76">D15</f>
        <v>0</v>
      </c>
      <c r="E95" s="8">
        <f t="shared" si="76"/>
        <v>-20000</v>
      </c>
      <c r="F95" s="8">
        <f t="shared" si="76"/>
        <v>0</v>
      </c>
      <c r="G95" s="8">
        <f t="shared" si="76"/>
        <v>0</v>
      </c>
      <c r="H95" s="8">
        <f t="shared" si="76"/>
        <v>0</v>
      </c>
      <c r="I95" s="8">
        <f t="shared" si="76"/>
        <v>0</v>
      </c>
      <c r="J95" s="8">
        <f t="shared" si="76"/>
        <v>-20000</v>
      </c>
      <c r="K95" s="8">
        <f t="shared" si="76"/>
        <v>0</v>
      </c>
      <c r="L95" s="8">
        <f t="shared" si="76"/>
        <v>0</v>
      </c>
    </row>
    <row r="96" spans="1:13" ht="15.6" x14ac:dyDescent="0.3">
      <c r="A96" s="10" t="s">
        <v>72</v>
      </c>
      <c r="B96" s="10"/>
      <c r="C96" s="10">
        <f t="shared" ref="C96:H96" si="77">C94+C95</f>
        <v>50000.000000000007</v>
      </c>
      <c r="D96" s="10">
        <f t="shared" si="77"/>
        <v>50000.000000000007</v>
      </c>
      <c r="E96" s="10">
        <f t="shared" si="77"/>
        <v>30000.000000000007</v>
      </c>
      <c r="F96" s="10">
        <f t="shared" si="77"/>
        <v>30000.000000000007</v>
      </c>
      <c r="G96" s="10">
        <f t="shared" si="77"/>
        <v>30000.000000000007</v>
      </c>
      <c r="H96" s="10">
        <f t="shared" si="77"/>
        <v>30000.000000000007</v>
      </c>
      <c r="I96" s="10">
        <f t="shared" ref="I96:L96" si="78">I94+I95</f>
        <v>30000.000000000007</v>
      </c>
      <c r="J96" s="10">
        <f t="shared" si="78"/>
        <v>10000.000000000007</v>
      </c>
      <c r="K96" s="10">
        <f t="shared" si="78"/>
        <v>10000.000000000007</v>
      </c>
      <c r="L96" s="10">
        <f t="shared" si="78"/>
        <v>10000.000000000007</v>
      </c>
    </row>
    <row r="97" spans="1:13" ht="15.6" x14ac:dyDescent="0.3">
      <c r="A97" s="8" t="s">
        <v>73</v>
      </c>
      <c r="B97" s="8"/>
      <c r="C97" s="8">
        <f>C28</f>
        <v>2500</v>
      </c>
      <c r="D97" s="8">
        <f t="shared" ref="D97:G97" si="79">D28</f>
        <v>2500</v>
      </c>
      <c r="E97" s="8">
        <f t="shared" si="79"/>
        <v>1500</v>
      </c>
      <c r="F97" s="8">
        <f t="shared" si="79"/>
        <v>1500</v>
      </c>
      <c r="G97" s="8">
        <f t="shared" si="79"/>
        <v>1500</v>
      </c>
      <c r="H97" s="26">
        <f>AVERAGE(H94,H96)*H9</f>
        <v>3000.0000000000009</v>
      </c>
      <c r="I97" s="26">
        <f t="shared" ref="I97:L97" si="80">AVERAGE(I94,I96)*I9</f>
        <v>3000.0000000000009</v>
      </c>
      <c r="J97" s="26">
        <f t="shared" si="80"/>
        <v>2000.0000000000009</v>
      </c>
      <c r="K97" s="26">
        <f t="shared" si="80"/>
        <v>1000.0000000000008</v>
      </c>
      <c r="L97" s="26">
        <f t="shared" si="80"/>
        <v>1000.0000000000008</v>
      </c>
    </row>
    <row r="100" spans="1:13" ht="21" x14ac:dyDescent="0.3">
      <c r="A100" s="13" t="s">
        <v>75</v>
      </c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</row>
    <row r="102" spans="1:13" ht="15.6" x14ac:dyDescent="0.3">
      <c r="A102" s="8" t="s">
        <v>18</v>
      </c>
      <c r="B102" s="8"/>
      <c r="C102" s="20">
        <f>C21</f>
        <v>102007</v>
      </c>
      <c r="D102" s="20">
        <f t="shared" ref="D102:L102" si="81">D21</f>
        <v>118086</v>
      </c>
      <c r="E102" s="20">
        <f t="shared" si="81"/>
        <v>131345</v>
      </c>
      <c r="F102" s="20">
        <f t="shared" si="81"/>
        <v>142341</v>
      </c>
      <c r="G102" s="20">
        <f t="shared" si="81"/>
        <v>150772</v>
      </c>
      <c r="H102" s="20">
        <f t="shared" si="81"/>
        <v>165849.20000000001</v>
      </c>
      <c r="I102" s="20">
        <f t="shared" si="81"/>
        <v>182434.12000000002</v>
      </c>
      <c r="J102" s="20">
        <f t="shared" si="81"/>
        <v>200677.53200000004</v>
      </c>
      <c r="K102" s="20">
        <f t="shared" si="81"/>
        <v>220745.28520000007</v>
      </c>
      <c r="L102" s="20">
        <f t="shared" si="81"/>
        <v>242819.81372000009</v>
      </c>
    </row>
    <row r="103" spans="1:13" ht="15.6" x14ac:dyDescent="0.3">
      <c r="A103" s="8" t="s">
        <v>76</v>
      </c>
      <c r="B103" s="8"/>
      <c r="C103" s="30">
        <f>C23/C21</f>
        <v>0.61744782220827987</v>
      </c>
      <c r="D103" s="30">
        <f t="shared" ref="D103:L103" si="82">D23/D21</f>
        <v>0.59348271598665381</v>
      </c>
      <c r="E103" s="30">
        <f t="shared" si="82"/>
        <v>0.62600022840610603</v>
      </c>
      <c r="F103" s="30">
        <f t="shared" si="82"/>
        <v>0.63008549890755294</v>
      </c>
      <c r="G103" s="30">
        <f t="shared" si="82"/>
        <v>0.62386915342371263</v>
      </c>
      <c r="H103" s="30">
        <f t="shared" si="82"/>
        <v>0.57999999999999996</v>
      </c>
      <c r="I103" s="30">
        <f t="shared" si="82"/>
        <v>0.53</v>
      </c>
      <c r="J103" s="30">
        <f t="shared" si="82"/>
        <v>0.5</v>
      </c>
      <c r="K103" s="30">
        <f t="shared" si="82"/>
        <v>0.64</v>
      </c>
      <c r="L103" s="30">
        <f t="shared" si="82"/>
        <v>0.65</v>
      </c>
    </row>
    <row r="104" spans="1:13" ht="15.6" x14ac:dyDescent="0.3">
      <c r="A104" s="8"/>
      <c r="B104" s="8"/>
    </row>
    <row r="105" spans="1:13" ht="15.6" x14ac:dyDescent="0.3">
      <c r="A105" s="8" t="s">
        <v>46</v>
      </c>
      <c r="B105" s="8"/>
      <c r="C105" s="20">
        <f>C62</f>
        <v>12971</v>
      </c>
      <c r="D105" s="20">
        <f t="shared" ref="D105:L105" si="83">D62</f>
        <v>28239</v>
      </c>
      <c r="E105" s="20">
        <f t="shared" si="83"/>
        <v>37505</v>
      </c>
      <c r="F105" s="20">
        <f t="shared" si="83"/>
        <v>42355</v>
      </c>
      <c r="G105" s="20">
        <f t="shared" si="83"/>
        <v>43479</v>
      </c>
      <c r="H105" s="20">
        <f t="shared" si="83"/>
        <v>36500.749642739727</v>
      </c>
      <c r="I105" s="20">
        <f t="shared" si="83"/>
        <v>33124.748762356161</v>
      </c>
      <c r="J105" s="20">
        <f t="shared" si="83"/>
        <v>33652.121499158908</v>
      </c>
      <c r="K105" s="20">
        <f t="shared" si="83"/>
        <v>69849.248091132773</v>
      </c>
      <c r="L105" s="20">
        <f t="shared" si="83"/>
        <v>74464.041295148636</v>
      </c>
    </row>
    <row r="106" spans="1:13" ht="15.6" x14ac:dyDescent="0.3">
      <c r="A106" s="8" t="s">
        <v>50</v>
      </c>
      <c r="B106" s="8"/>
      <c r="C106" s="20">
        <f>-C66</f>
        <v>-15000</v>
      </c>
      <c r="D106" s="20">
        <f t="shared" ref="D106:L106" si="84">-D66</f>
        <v>-15000</v>
      </c>
      <c r="E106" s="20">
        <f t="shared" si="84"/>
        <v>-15000</v>
      </c>
      <c r="F106" s="20">
        <f t="shared" si="84"/>
        <v>-15000</v>
      </c>
      <c r="G106" s="20">
        <f t="shared" si="84"/>
        <v>-15000</v>
      </c>
      <c r="H106" s="20">
        <f t="shared" si="84"/>
        <v>-15000</v>
      </c>
      <c r="I106" s="20">
        <f t="shared" si="84"/>
        <v>-15000</v>
      </c>
      <c r="J106" s="20">
        <f t="shared" si="84"/>
        <v>-15000</v>
      </c>
      <c r="K106" s="20">
        <f t="shared" si="84"/>
        <v>-15000</v>
      </c>
      <c r="L106" s="20">
        <f t="shared" si="84"/>
        <v>-15000</v>
      </c>
    </row>
    <row r="107" spans="1:13" ht="15.6" x14ac:dyDescent="0.3">
      <c r="A107" s="8" t="s">
        <v>53</v>
      </c>
      <c r="B107" s="8"/>
      <c r="C107" s="20">
        <f>C71</f>
        <v>70000</v>
      </c>
      <c r="D107" s="20">
        <f t="shared" ref="D107:L107" si="85">D71</f>
        <v>0</v>
      </c>
      <c r="E107" s="20">
        <f t="shared" si="85"/>
        <v>-20000</v>
      </c>
      <c r="F107" s="20">
        <f t="shared" si="85"/>
        <v>0</v>
      </c>
      <c r="G107" s="20">
        <f t="shared" si="85"/>
        <v>0</v>
      </c>
      <c r="H107" s="20">
        <f t="shared" si="85"/>
        <v>0</v>
      </c>
      <c r="I107" s="20">
        <f t="shared" si="85"/>
        <v>0</v>
      </c>
      <c r="J107" s="20">
        <f t="shared" si="85"/>
        <v>-20000</v>
      </c>
      <c r="K107" s="20">
        <f t="shared" si="85"/>
        <v>0</v>
      </c>
      <c r="L107" s="20">
        <f t="shared" si="85"/>
        <v>0</v>
      </c>
    </row>
  </sheetData>
  <mergeCells count="2">
    <mergeCell ref="C1:G1"/>
    <mergeCell ref="H1:L1"/>
  </mergeCells>
  <conditionalFormatting sqref="C3:L3">
    <cfRule type="containsText" dxfId="1" priority="1" operator="containsText" text="OK">
      <formula>NOT(ISERROR(SEARCH(("OK"),(C3))))</formula>
    </cfRule>
    <cfRule type="containsText" dxfId="0" priority="2" operator="containsText" text="ERROR">
      <formula>NOT(ISERROR(SEARCH(("ERROR"),(C3))))</formula>
    </cfRule>
  </conditionalFormatting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SAKHAR PYNE</dc:creator>
  <cp:lastModifiedBy>SAKHAR PYNE</cp:lastModifiedBy>
  <dcterms:created xsi:type="dcterms:W3CDTF">2025-11-23T00:38:29Z</dcterms:created>
  <dcterms:modified xsi:type="dcterms:W3CDTF">2025-11-23T18:29:50Z</dcterms:modified>
</cp:coreProperties>
</file>